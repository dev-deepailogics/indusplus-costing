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yaz.rehman\Desktop\"/>
    </mc:Choice>
  </mc:AlternateContent>
  <xr:revisionPtr revIDLastSave="0" documentId="13_ncr:1_{A61B7E09-970C-43EF-95D6-D2755CF02C55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CPM DATA" sheetId="111" state="hidden" r:id="rId1"/>
    <sheet name="Smy" sheetId="113" state="hidden" r:id="rId2"/>
    <sheet name="Listing" sheetId="112" state="hidden" r:id="rId3"/>
    <sheet name="Style Wise Summary" sheetId="114" state="hidden" r:id="rId4"/>
    <sheet name="Reject Grid" sheetId="107" state="hidden" r:id="rId5"/>
    <sheet name="Model" sheetId="100" r:id="rId6"/>
    <sheet name="Master Grid" sheetId="98" r:id="rId7"/>
    <sheet name="Parameters" sheetId="115" state="hidden" r:id="rId8"/>
  </sheets>
  <definedNames>
    <definedName name="\f">#REF!</definedName>
    <definedName name="\M">#REF!</definedName>
    <definedName name="_____________________Am1" localSheetId="0" hidden="1">#REF!</definedName>
    <definedName name="_____________________Am1" hidden="1">#REF!</definedName>
    <definedName name="____________________Am1" localSheetId="0" hidden="1">#REF!</definedName>
    <definedName name="____________________Am1" hidden="1">#REF!</definedName>
    <definedName name="__________________Am1" localSheetId="0" hidden="1">#REF!</definedName>
    <definedName name="__________________Am1" hidden="1">#REF!</definedName>
    <definedName name="_________________Am1" localSheetId="0" hidden="1">#REF!</definedName>
    <definedName name="_________________Am1" hidden="1">#REF!</definedName>
    <definedName name="________________Am1" localSheetId="0" hidden="1">#REF!</definedName>
    <definedName name="________________Am1" hidden="1">#REF!</definedName>
    <definedName name="________________QB156">#REF!</definedName>
    <definedName name="________________Ri3">#REF!</definedName>
    <definedName name="________________ZZ13">#REF!</definedName>
    <definedName name="_______________Am1" localSheetId="0" hidden="1">#REF!</definedName>
    <definedName name="_______________Am1" hidden="1">#REF!</definedName>
    <definedName name="_______________QB156">#REF!</definedName>
    <definedName name="_______________Ri3">#REF!</definedName>
    <definedName name="_______________ZZ13">#REF!</definedName>
    <definedName name="______________QB156">#REF!</definedName>
    <definedName name="______________Ri3">#REF!</definedName>
    <definedName name="______________ZZ13">#REF!</definedName>
    <definedName name="_____________Am1" localSheetId="0" hidden="1">#REF!</definedName>
    <definedName name="_____________Am1" hidden="1">#REF!</definedName>
    <definedName name="_____________D72000">#REF!</definedName>
    <definedName name="_____________QB156">#REF!</definedName>
    <definedName name="_____________Ri3">#REF!</definedName>
    <definedName name="_____________ZZ13">#REF!</definedName>
    <definedName name="____________Am1" localSheetId="0" hidden="1">#REF!</definedName>
    <definedName name="____________Am1" hidden="1">#REF!</definedName>
    <definedName name="____________D72000">#REF!</definedName>
    <definedName name="____________QB156">#REF!</definedName>
    <definedName name="____________Ri3">#REF!</definedName>
    <definedName name="____________ZZ13">#REF!</definedName>
    <definedName name="___________Am1" localSheetId="0" hidden="1">#REF!</definedName>
    <definedName name="___________Am1" hidden="1">#REF!</definedName>
    <definedName name="___________D72000">#REF!</definedName>
    <definedName name="___________QB156">#REF!</definedName>
    <definedName name="___________Ri3">#REF!</definedName>
    <definedName name="___________ZZ13">#REF!</definedName>
    <definedName name="__________Am1" localSheetId="0" hidden="1">#REF!</definedName>
    <definedName name="__________Am1" hidden="1">#REF!</definedName>
    <definedName name="__________QB156">#REF!</definedName>
    <definedName name="__________Ri3">#REF!</definedName>
    <definedName name="__________ZZ13">#REF!</definedName>
    <definedName name="_________Am1" localSheetId="0" hidden="1">#REF!</definedName>
    <definedName name="_________Am1" hidden="1">#REF!</definedName>
    <definedName name="_________D72000">#REF!</definedName>
    <definedName name="_________QB156">#REF!</definedName>
    <definedName name="_________Ri3">#REF!</definedName>
    <definedName name="_________ZZ13">#REF!</definedName>
    <definedName name="________Am1" localSheetId="0" hidden="1">#REF!</definedName>
    <definedName name="________Am1" hidden="1">#REF!</definedName>
    <definedName name="________D72000">#REF!</definedName>
    <definedName name="________QB156">#REF!</definedName>
    <definedName name="________Ri3">#REF!</definedName>
    <definedName name="________RZ16">#REF!</definedName>
    <definedName name="________Sum1">#REF!</definedName>
    <definedName name="________Sum2">#REF!</definedName>
    <definedName name="________Sum3">#REF!</definedName>
    <definedName name="________ZZ13">#REF!</definedName>
    <definedName name="_______D72000">#REF!</definedName>
    <definedName name="_______QB156">#REF!</definedName>
    <definedName name="_______Ri3">#REF!</definedName>
    <definedName name="_______RZ16">#REF!</definedName>
    <definedName name="_______Sum1">#REF!</definedName>
    <definedName name="_______Sum2">#REF!</definedName>
    <definedName name="_______Sum3">#REF!</definedName>
    <definedName name="_______ZZ13">#REF!</definedName>
    <definedName name="______Am1" localSheetId="0" hidden="1">#REF!</definedName>
    <definedName name="______Am1" hidden="1">#REF!</definedName>
    <definedName name="______D72000">#REF!</definedName>
    <definedName name="______QB156">#REF!</definedName>
    <definedName name="______Ri3">#REF!</definedName>
    <definedName name="______RZ16">#REF!</definedName>
    <definedName name="______Sum1">#REF!</definedName>
    <definedName name="______Sum2">#REF!</definedName>
    <definedName name="______Sum3">#REF!</definedName>
    <definedName name="______ZZ13">#REF!</definedName>
    <definedName name="_____ATX1" localSheetId="0" hidden="1">{"'FF'!$B$57:$B$58"}</definedName>
    <definedName name="_____ATX1" hidden="1">{"'FF'!$B$57:$B$58"}</definedName>
    <definedName name="_____D72000">#REF!</definedName>
    <definedName name="_____QB156">#REF!</definedName>
    <definedName name="_____Ri3">#REF!</definedName>
    <definedName name="_____RZ16">#REF!</definedName>
    <definedName name="_____Sum1">#REF!</definedName>
    <definedName name="_____Sum2">#REF!</definedName>
    <definedName name="_____Sum3">#REF!</definedName>
    <definedName name="_____TAX1" localSheetId="0" hidden="1">{"'FF'!$B$57:$B$58"}</definedName>
    <definedName name="_____TAX1" hidden="1">{"'FF'!$B$57:$B$58"}</definedName>
    <definedName name="_____ZZ13">#REF!</definedName>
    <definedName name="____aaa186">#REF!</definedName>
    <definedName name="____Am1" localSheetId="0" hidden="1">#REF!</definedName>
    <definedName name="____Am1" hidden="1">#REF!</definedName>
    <definedName name="____as1" localSheetId="0" hidden="1">{"FCB_ALL",#N/A,FALSE,"FCB"}</definedName>
    <definedName name="____as1" hidden="1">{"FCB_ALL",#N/A,FALSE,"FCB"}</definedName>
    <definedName name="____AS2" localSheetId="0" hidden="1">{"FCB_ALL",#N/A,FALSE,"FCB"}</definedName>
    <definedName name="____AS2" hidden="1">{"FCB_ALL",#N/A,FALSE,"FCB"}</definedName>
    <definedName name="____as3" localSheetId="0" hidden="1">{"FCB_ALL",#N/A,FALSE,"FCB"}</definedName>
    <definedName name="____as3" hidden="1">{"FCB_ALL",#N/A,FALSE,"FCB"}</definedName>
    <definedName name="____AS4" localSheetId="0" hidden="1">{"FCB_ALL",#N/A,FALSE,"FCB"}</definedName>
    <definedName name="____AS4" hidden="1">{"FCB_ALL",#N/A,FALSE,"FCB"}</definedName>
    <definedName name="____as45" localSheetId="0" hidden="1">{#N/A,#N/A,FALSE,"dec98qtr";#N/A,#N/A,FALSE,"suppdecsep98";#N/A,#N/A,FALSE,"w-dec98"}</definedName>
    <definedName name="____as45" hidden="1">{#N/A,#N/A,FALSE,"dec98qtr";#N/A,#N/A,FALSE,"suppdecsep98";#N/A,#N/A,FALSE,"w-dec98"}</definedName>
    <definedName name="____as6" localSheetId="0" hidden="1">{"FCB_ALL",#N/A,FALSE,"FCB"}</definedName>
    <definedName name="____as6" hidden="1">{"FCB_ALL",#N/A,FALSE,"FCB"}</definedName>
    <definedName name="____AS7" localSheetId="0" hidden="1">{"FCB_ALL",#N/A,FALSE,"FCB"}</definedName>
    <definedName name="____AS7" hidden="1">{"FCB_ALL",#N/A,FALSE,"FCB"}</definedName>
    <definedName name="____ATX1" localSheetId="0" hidden="1">{"'FF'!$B$57:$B$58"}</definedName>
    <definedName name="____ATX1" hidden="1">{"'FF'!$B$57:$B$58"}</definedName>
    <definedName name="____cf66" localSheetId="0" hidden="1">{#N/A,#N/A,FALSE,"dec98qtr";#N/A,#N/A,FALSE,"suppdecsep98";#N/A,#N/A,FALSE,"w-dec98"}</definedName>
    <definedName name="____cf66" hidden="1">{#N/A,#N/A,FALSE,"dec98qtr";#N/A,#N/A,FALSE,"suppdecsep98";#N/A,#N/A,FALSE,"w-dec98"}</definedName>
    <definedName name="____D72000">#REF!</definedName>
    <definedName name="____DCF1" localSheetId="0" hidden="1">{#N/A,#N/A,FALSE,"DCF Summary";#N/A,#N/A,FALSE,"Casema";#N/A,#N/A,FALSE,"Casema NoTel";#N/A,#N/A,FALSE,"UK";#N/A,#N/A,FALSE,"RCF";#N/A,#N/A,FALSE,"Intercable CZ";#N/A,#N/A,FALSE,"Interkabel P"}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hg45" localSheetId="0" hidden="1">{"MSS",#N/A,FALSE,"MSS";"ProdSA",#N/A,FALSE,"ProdSA";"Sales 1",#N/A,FALSE,"SALES";"Transfer 1",#N/A,FALSE,"TRANSFERS"}</definedName>
    <definedName name="____hg45" hidden="1">{"MSS",#N/A,FALSE,"MSS";"ProdSA",#N/A,FALSE,"ProdSA";"Sales 1",#N/A,FALSE,"SALES";"Transfer 1",#N/A,FALSE,"TRANSFERS"}</definedName>
    <definedName name="____hg76" localSheetId="0" hidden="1">{"MSS",#N/A,FALSE,"MSS";"ProdSA",#N/A,FALSE,"ProdSA";"Sales 1",#N/A,FALSE,"SALES";"Transfer 1",#N/A,FALSE,"TRANSFERS"}</definedName>
    <definedName name="____hg76" hidden="1">{"MSS",#N/A,FALSE,"MSS";"ProdSA",#N/A,FALSE,"ProdSA";"Sales 1",#N/A,FALSE,"SALES";"Transfer 1",#N/A,FALSE,"TRANSFERS"}</definedName>
    <definedName name="____jk44" localSheetId="0" hidden="1">{"Sales 2",#N/A,FALSE,"SALES";"Transfer 2",#N/A,FALSE,"TRANSFERS";"A1460",#N/A,FALSE,"A1460"}</definedName>
    <definedName name="____jk44" hidden="1">{"Sales 2",#N/A,FALSE,"SALES";"Transfer 2",#N/A,FALSE,"TRANSFERS";"A1460",#N/A,FALSE,"A1460"}</definedName>
    <definedName name="____kl87" localSheetId="0" hidden="1">{#N/A,#N/A,FALSE,"dec98qtr";#N/A,#N/A,FALSE,"suppdecsep98";#N/A,#N/A,FALSE,"w-dec98"}</definedName>
    <definedName name="____kl87" hidden="1">{#N/A,#N/A,FALSE,"dec98qtr";#N/A,#N/A,FALSE,"suppdecsep98";#N/A,#N/A,FALSE,"w-dec98"}</definedName>
    <definedName name="____lk38" localSheetId="0" hidden="1">{"MSS",#N/A,FALSE,"MSS";"ProdSA",#N/A,FALSE,"ProdSA";"Sales 1",#N/A,FALSE,"SALES";"Transfer 1",#N/A,FALSE,"TRANSFERS"}</definedName>
    <definedName name="____lk38" hidden="1">{"MSS",#N/A,FALSE,"MSS";"ProdSA",#N/A,FALSE,"ProdSA";"Sales 1",#N/A,FALSE,"SALES";"Transfer 1",#N/A,FALSE,"TRANSFERS"}</definedName>
    <definedName name="____MDE1">#REF!</definedName>
    <definedName name="____ml54" localSheetId="0" hidden="1">{#N/A,#N/A,FALSE,"dec98qtr";#N/A,#N/A,FALSE,"suppdecsep98";#N/A,#N/A,FALSE,"w-dec98"}</definedName>
    <definedName name="____ml54" hidden="1">{#N/A,#N/A,FALSE,"dec98qtr";#N/A,#N/A,FALSE,"suppdecsep98";#N/A,#N/A,FALSE,"w-dec98"}</definedName>
    <definedName name="____njh99" localSheetId="0" hidden="1">{#N/A,#N/A,FALSE,"dec98qtr";#N/A,#N/A,FALSE,"suppdecsep98";#N/A,#N/A,FALSE,"w-dec98"}</definedName>
    <definedName name="____njh99" hidden="1">{#N/A,#N/A,FALSE,"dec98qtr";#N/A,#N/A,FALSE,"suppdecsep98";#N/A,#N/A,FALSE,"w-dec98"}</definedName>
    <definedName name="____nm45" localSheetId="0" hidden="1">{"Sales 2",#N/A,FALSE,"SALES";"Transfer 2",#N/A,FALSE,"TRANSFERS";"A1460",#N/A,FALSE,"A1460"}</definedName>
    <definedName name="____nm45" hidden="1">{"Sales 2",#N/A,FALSE,"SALES";"Transfer 2",#N/A,FALSE,"TRANSFERS";"A1460",#N/A,FALSE,"A1460"}</definedName>
    <definedName name="____nm56" localSheetId="0" hidden="1">{"Sales 2",#N/A,FALSE,"SALES";"Transfer 2",#N/A,FALSE,"TRANSFERS";"A1460",#N/A,FALSE,"A1460"}</definedName>
    <definedName name="____nm56" hidden="1">{"Sales 2",#N/A,FALSE,"SALES";"Transfer 2",#N/A,FALSE,"TRANSFERS";"A1460",#N/A,FALSE,"A1460"}</definedName>
    <definedName name="____NYZ2">#REF!</definedName>
    <definedName name="____pl10" localSheetId="0" hidden="1">{"MSS",#N/A,FALSE,"MSS";"ProdSA",#N/A,FALSE,"ProdSA";"Sales 1",#N/A,FALSE,"SALES";"Transfer 1",#N/A,FALSE,"TRANSFERS"}</definedName>
    <definedName name="____pl10" hidden="1">{"MSS",#N/A,FALSE,"MSS";"ProdSA",#N/A,FALSE,"ProdSA";"Sales 1",#N/A,FALSE,"SALES";"Transfer 1",#N/A,FALSE,"TRANSFERS"}</definedName>
    <definedName name="____pl11" localSheetId="0" hidden="1">{#N/A,#N/A,FALSE,"dec98qtr";#N/A,#N/A,FALSE,"suppdecsep98";#N/A,#N/A,FALSE,"w-dec98"}</definedName>
    <definedName name="____pl11" hidden="1">{#N/A,#N/A,FALSE,"dec98qtr";#N/A,#N/A,FALSE,"suppdecsep98";#N/A,#N/A,FALSE,"w-dec98"}</definedName>
    <definedName name="____pl12" localSheetId="0" hidden="1">{#N/A,#N/A,FALSE,"dec98qtr";#N/A,#N/A,FALSE,"suppdecsep98";#N/A,#N/A,FALSE,"w-dec98"}</definedName>
    <definedName name="____pl12" hidden="1">{#N/A,#N/A,FALSE,"dec98qtr";#N/A,#N/A,FALSE,"suppdecsep98";#N/A,#N/A,FALSE,"w-dec98"}</definedName>
    <definedName name="____pl13" localSheetId="0" hidden="1">{#N/A,#N/A,FALSE,"dec98qtr";#N/A,#N/A,FALSE,"suppdecsep98";#N/A,#N/A,FALSE,"w-dec98"}</definedName>
    <definedName name="____pl13" hidden="1">{#N/A,#N/A,FALSE,"dec98qtr";#N/A,#N/A,FALSE,"suppdecsep98";#N/A,#N/A,FALSE,"w-dec98"}</definedName>
    <definedName name="____pl14" localSheetId="0" hidden="1">{#N/A,#N/A,FALSE,"dec98qtr";#N/A,#N/A,FALSE,"suppdecsep98";#N/A,#N/A,FALSE,"w-dec98"}</definedName>
    <definedName name="____pl14" hidden="1">{#N/A,#N/A,FALSE,"dec98qtr";#N/A,#N/A,FALSE,"suppdecsep98";#N/A,#N/A,FALSE,"w-dec98"}</definedName>
    <definedName name="____pl15" localSheetId="0" hidden="1">{#N/A,#N/A,FALSE,"dec98qtr";#N/A,#N/A,FALSE,"suppdecsep98";#N/A,#N/A,FALSE,"w-dec98"}</definedName>
    <definedName name="____pl15" hidden="1">{#N/A,#N/A,FALSE,"dec98qtr";#N/A,#N/A,FALSE,"suppdecsep98";#N/A,#N/A,FALSE,"w-dec98"}</definedName>
    <definedName name="____pl16" localSheetId="0" hidden="1">{"MSS",#N/A,FALSE,"MSS";"ProdSA",#N/A,FALSE,"ProdSA";"Sales 1",#N/A,FALSE,"SALES";"Transfer 1",#N/A,FALSE,"TRANSFERS"}</definedName>
    <definedName name="____pl16" hidden="1">{"MSS",#N/A,FALSE,"MSS";"ProdSA",#N/A,FALSE,"ProdSA";"Sales 1",#N/A,FALSE,"SALES";"Transfer 1",#N/A,FALSE,"TRANSFERS"}</definedName>
    <definedName name="____pl17" localSheetId="0" hidden="1">{"Sales 2",#N/A,FALSE,"SALES";"Transfer 2",#N/A,FALSE,"TRANSFERS";"A1460",#N/A,FALSE,"A1460"}</definedName>
    <definedName name="____pl17" hidden="1">{"Sales 2",#N/A,FALSE,"SALES";"Transfer 2",#N/A,FALSE,"TRANSFERS";"A1460",#N/A,FALSE,"A1460"}</definedName>
    <definedName name="____pl18" localSheetId="0" hidden="1">{#N/A,#N/A,FALSE,"dec98qtr";#N/A,#N/A,FALSE,"suppdecsep98";#N/A,#N/A,FALSE,"w-dec98"}</definedName>
    <definedName name="____pl18" hidden="1">{#N/A,#N/A,FALSE,"dec98qtr";#N/A,#N/A,FALSE,"suppdecsep98";#N/A,#N/A,FALSE,"w-dec98"}</definedName>
    <definedName name="____pl2" localSheetId="0" hidden="1">{#N/A,#N/A,FALSE,"dec98qtr";#N/A,#N/A,FALSE,"suppdecsep98";#N/A,#N/A,FALSE,"w-dec98"}</definedName>
    <definedName name="____pl2" hidden="1">{#N/A,#N/A,FALSE,"dec98qtr";#N/A,#N/A,FALSE,"suppdecsep98";#N/A,#N/A,FALSE,"w-dec98"}</definedName>
    <definedName name="____pl3" localSheetId="0" hidden="1">{#N/A,#N/A,FALSE,"dec98qtr";#N/A,#N/A,FALSE,"suppdecsep98";#N/A,#N/A,FALSE,"w-dec98"}</definedName>
    <definedName name="____pl3" hidden="1">{#N/A,#N/A,FALSE,"dec98qtr";#N/A,#N/A,FALSE,"suppdecsep98";#N/A,#N/A,FALSE,"w-dec98"}</definedName>
    <definedName name="____pl4" localSheetId="0" hidden="1">{"Sales 2",#N/A,FALSE,"SALES";"Transfer 2",#N/A,FALSE,"TRANSFERS";"A1460",#N/A,FALSE,"A1460"}</definedName>
    <definedName name="____pl4" hidden="1">{"Sales 2",#N/A,FALSE,"SALES";"Transfer 2",#N/A,FALSE,"TRANSFERS";"A1460",#N/A,FALSE,"A1460"}</definedName>
    <definedName name="____pl5" localSheetId="0" hidden="1">{"Sales 2",#N/A,FALSE,"SALES";"Transfer 2",#N/A,FALSE,"TRANSFERS";"A1460",#N/A,FALSE,"A1460"}</definedName>
    <definedName name="____pl5" hidden="1">{"Sales 2",#N/A,FALSE,"SALES";"Transfer 2",#N/A,FALSE,"TRANSFERS";"A1460",#N/A,FALSE,"A1460"}</definedName>
    <definedName name="____pl6" localSheetId="0" hidden="1">{#N/A,#N/A,FALSE,"dec98qtr";#N/A,#N/A,FALSE,"suppdecsep98";#N/A,#N/A,FALSE,"w-dec98"}</definedName>
    <definedName name="____pl6" hidden="1">{#N/A,#N/A,FALSE,"dec98qtr";#N/A,#N/A,FALSE,"suppdecsep98";#N/A,#N/A,FALSE,"w-dec98"}</definedName>
    <definedName name="____pl7" localSheetId="0" hidden="1">{"MSS",#N/A,FALSE,"MSS";"ProdSA",#N/A,FALSE,"ProdSA";"Sales 1",#N/A,FALSE,"SALES";"Transfer 1",#N/A,FALSE,"TRANSFERS"}</definedName>
    <definedName name="____pl7" hidden="1">{"MSS",#N/A,FALSE,"MSS";"ProdSA",#N/A,FALSE,"ProdSA";"Sales 1",#N/A,FALSE,"SALES";"Transfer 1",#N/A,FALSE,"TRANSFERS"}</definedName>
    <definedName name="____pl8" localSheetId="0" hidden="1">{#N/A,#N/A,FALSE,"dec98qtr";#N/A,#N/A,FALSE,"suppdecsep98";#N/A,#N/A,FALSE,"w-dec98"}</definedName>
    <definedName name="____pl8" hidden="1">{#N/A,#N/A,FALSE,"dec98qtr";#N/A,#N/A,FALSE,"suppdecsep98";#N/A,#N/A,FALSE,"w-dec98"}</definedName>
    <definedName name="____pl9" localSheetId="0" hidden="1">{"Sales 2",#N/A,FALSE,"SALES";"Transfer 2",#N/A,FALSE,"TRANSFERS";"A1460",#N/A,FALSE,"A1460"}</definedName>
    <definedName name="____pl9" hidden="1">{"Sales 2",#N/A,FALSE,"SALES";"Transfer 2",#N/A,FALSE,"TRANSFERS";"A1460",#N/A,FALSE,"A1460"}</definedName>
    <definedName name="____ppl99" localSheetId="0" hidden="1">{#N/A,#N/A,FALSE,"dec98qtr";#N/A,#N/A,FALSE,"suppdecsep98";#N/A,#N/A,FALSE,"w-dec98"}</definedName>
    <definedName name="____ppl99" hidden="1">{#N/A,#N/A,FALSE,"dec98qtr";#N/A,#N/A,FALSE,"suppdecsep98";#N/A,#N/A,FALSE,"w-dec98"}</definedName>
    <definedName name="____QB156">#REF!</definedName>
    <definedName name="____Ri3">#REF!</definedName>
    <definedName name="____RZ16">#REF!</definedName>
    <definedName name="____sal2" localSheetId="0" hidden="1">{"SALARIOS",#N/A,FALSE,"Hoja3";"SUELDOS EMPLEADOS",#N/A,FALSE,"Hoja4";"SUELDOS EJECUTIVOS",#N/A,FALSE,"Hoja5"}</definedName>
    <definedName name="____sal2" hidden="1">{"SALARIOS",#N/A,FALSE,"Hoja3";"SUELDOS EMPLEADOS",#N/A,FALSE,"Hoja4";"SUELDOS EJECUTIVOS",#N/A,FALSE,"Hoja5"}</definedName>
    <definedName name="____Sum1">#REF!</definedName>
    <definedName name="____Sum2">#REF!</definedName>
    <definedName name="____Sum3">#REF!</definedName>
    <definedName name="____TAX1" localSheetId="0" hidden="1">{"'FF'!$B$57:$B$58"}</definedName>
    <definedName name="____TAX1" hidden="1">{"'FF'!$B$57:$B$58"}</definedName>
    <definedName name="____vb45" localSheetId="0" hidden="1">{"Sales 2",#N/A,FALSE,"SALES";"Transfer 2",#N/A,FALSE,"TRANSFERS";"A1460",#N/A,FALSE,"A1460"}</definedName>
    <definedName name="____vb45" hidden="1">{"Sales 2",#N/A,FALSE,"SALES";"Transfer 2",#N/A,FALSE,"TRANSFERS";"A1460",#N/A,FALSE,"A1460"}</definedName>
    <definedName name="____W.O.R.K.B.O.O.K..C.O.N.T.E.N.T.S____">#REF!</definedName>
    <definedName name="____xlfn.BAHTTEXT" hidden="1">#NAME?</definedName>
    <definedName name="____yu65" localSheetId="0" hidden="1">{#N/A,#N/A,FALSE,"dec98qtr";#N/A,#N/A,FALSE,"suppdecsep98";#N/A,#N/A,FALSE,"w-dec98"}</definedName>
    <definedName name="____yu65" hidden="1">{#N/A,#N/A,FALSE,"dec98qtr";#N/A,#N/A,FALSE,"suppdecsep98";#N/A,#N/A,FALSE,"w-dec98"}</definedName>
    <definedName name="____ZZ13">#REF!</definedName>
    <definedName name="___aaa186">#REF!</definedName>
    <definedName name="___Am1" localSheetId="0" hidden="1">#REF!</definedName>
    <definedName name="___Am1" hidden="1">#REF!</definedName>
    <definedName name="___as45" localSheetId="0" hidden="1">{#N/A,#N/A,FALSE,"dec98qtr";#N/A,#N/A,FALSE,"suppdecsep98";#N/A,#N/A,FALSE,"w-dec98"}</definedName>
    <definedName name="___as45" hidden="1">{#N/A,#N/A,FALSE,"dec98qtr";#N/A,#N/A,FALSE,"suppdecsep98";#N/A,#N/A,FALSE,"w-dec98"}</definedName>
    <definedName name="___ATX1" localSheetId="0" hidden="1">{"'FF'!$B$57:$B$58"}</definedName>
    <definedName name="___ATX1" hidden="1">{"'FF'!$B$57:$B$58"}</definedName>
    <definedName name="___cf66" localSheetId="0" hidden="1">{#N/A,#N/A,FALSE,"dec98qtr";#N/A,#N/A,FALSE,"suppdecsep98";#N/A,#N/A,FALSE,"w-dec98"}</definedName>
    <definedName name="___cf66" hidden="1">{#N/A,#N/A,FALSE,"dec98qtr";#N/A,#N/A,FALSE,"suppdecsep98";#N/A,#N/A,FALSE,"w-dec98"}</definedName>
    <definedName name="___D72000">#REF!</definedName>
    <definedName name="___hg45" localSheetId="0" hidden="1">{"MSS",#N/A,FALSE,"MSS";"ProdSA",#N/A,FALSE,"ProdSA";"Sales 1",#N/A,FALSE,"SALES";"Transfer 1",#N/A,FALSE,"TRANSFERS"}</definedName>
    <definedName name="___hg45" hidden="1">{"MSS",#N/A,FALSE,"MSS";"ProdSA",#N/A,FALSE,"ProdSA";"Sales 1",#N/A,FALSE,"SALES";"Transfer 1",#N/A,FALSE,"TRANSFERS"}</definedName>
    <definedName name="___hg76" localSheetId="0" hidden="1">{"MSS",#N/A,FALSE,"MSS";"ProdSA",#N/A,FALSE,"ProdSA";"Sales 1",#N/A,FALSE,"SALES";"Transfer 1",#N/A,FALSE,"TRANSFERS"}</definedName>
    <definedName name="___hg76" hidden="1">{"MSS",#N/A,FALSE,"MSS";"ProdSA",#N/A,FALSE,"ProdSA";"Sales 1",#N/A,FALSE,"SALES";"Transfer 1",#N/A,FALSE,"TRANSFERS"}</definedName>
    <definedName name="___jk44" localSheetId="0" hidden="1">{"Sales 2",#N/A,FALSE,"SALES";"Transfer 2",#N/A,FALSE,"TRANSFERS";"A1460",#N/A,FALSE,"A1460"}</definedName>
    <definedName name="___jk44" hidden="1">{"Sales 2",#N/A,FALSE,"SALES";"Transfer 2",#N/A,FALSE,"TRANSFERS";"A1460",#N/A,FALSE,"A1460"}</definedName>
    <definedName name="___kl87" localSheetId="0" hidden="1">{#N/A,#N/A,FALSE,"dec98qtr";#N/A,#N/A,FALSE,"suppdecsep98";#N/A,#N/A,FALSE,"w-dec98"}</definedName>
    <definedName name="___kl87" hidden="1">{#N/A,#N/A,FALSE,"dec98qtr";#N/A,#N/A,FALSE,"suppdecsep98";#N/A,#N/A,FALSE,"w-dec98"}</definedName>
    <definedName name="___lk38" localSheetId="0" hidden="1">{"MSS",#N/A,FALSE,"MSS";"ProdSA",#N/A,FALSE,"ProdSA";"Sales 1",#N/A,FALSE,"SALES";"Transfer 1",#N/A,FALSE,"TRANSFERS"}</definedName>
    <definedName name="___lk38" hidden="1">{"MSS",#N/A,FALSE,"MSS";"ProdSA",#N/A,FALSE,"ProdSA";"Sales 1",#N/A,FALSE,"SALES";"Transfer 1",#N/A,FALSE,"TRANSFERS"}</definedName>
    <definedName name="___MDE1">#REF!</definedName>
    <definedName name="___MEI2" localSheetId="0" hidden="1">#REF!</definedName>
    <definedName name="___MEI2" hidden="1">#REF!</definedName>
    <definedName name="___ml54" localSheetId="0" hidden="1">{#N/A,#N/A,FALSE,"dec98qtr";#N/A,#N/A,FALSE,"suppdecsep98";#N/A,#N/A,FALSE,"w-dec98"}</definedName>
    <definedName name="___ml54" hidden="1">{#N/A,#N/A,FALSE,"dec98qtr";#N/A,#N/A,FALSE,"suppdecsep98";#N/A,#N/A,FALSE,"w-dec98"}</definedName>
    <definedName name="___njh99" localSheetId="0" hidden="1">{#N/A,#N/A,FALSE,"dec98qtr";#N/A,#N/A,FALSE,"suppdecsep98";#N/A,#N/A,FALSE,"w-dec98"}</definedName>
    <definedName name="___njh99" hidden="1">{#N/A,#N/A,FALSE,"dec98qtr";#N/A,#N/A,FALSE,"suppdecsep98";#N/A,#N/A,FALSE,"w-dec98"}</definedName>
    <definedName name="___nm45" localSheetId="0" hidden="1">{"Sales 2",#N/A,FALSE,"SALES";"Transfer 2",#N/A,FALSE,"TRANSFERS";"A1460",#N/A,FALSE,"A1460"}</definedName>
    <definedName name="___nm45" hidden="1">{"Sales 2",#N/A,FALSE,"SALES";"Transfer 2",#N/A,FALSE,"TRANSFERS";"A1460",#N/A,FALSE,"A1460"}</definedName>
    <definedName name="___nm56" localSheetId="0" hidden="1">{"Sales 2",#N/A,FALSE,"SALES";"Transfer 2",#N/A,FALSE,"TRANSFERS";"A1460",#N/A,FALSE,"A1460"}</definedName>
    <definedName name="___nm56" hidden="1">{"Sales 2",#N/A,FALSE,"SALES";"Transfer 2",#N/A,FALSE,"TRANSFERS";"A1460",#N/A,FALSE,"A1460"}</definedName>
    <definedName name="___NYZ2">#REF!</definedName>
    <definedName name="___pl10" localSheetId="0" hidden="1">{"MSS",#N/A,FALSE,"MSS";"ProdSA",#N/A,FALSE,"ProdSA";"Sales 1",#N/A,FALSE,"SALES";"Transfer 1",#N/A,FALSE,"TRANSFERS"}</definedName>
    <definedName name="___pl10" hidden="1">{"MSS",#N/A,FALSE,"MSS";"ProdSA",#N/A,FALSE,"ProdSA";"Sales 1",#N/A,FALSE,"SALES";"Transfer 1",#N/A,FALSE,"TRANSFERS"}</definedName>
    <definedName name="___pl11" localSheetId="0" hidden="1">{#N/A,#N/A,FALSE,"dec98qtr";#N/A,#N/A,FALSE,"suppdecsep98";#N/A,#N/A,FALSE,"w-dec98"}</definedName>
    <definedName name="___pl11" hidden="1">{#N/A,#N/A,FALSE,"dec98qtr";#N/A,#N/A,FALSE,"suppdecsep98";#N/A,#N/A,FALSE,"w-dec98"}</definedName>
    <definedName name="___pl12" localSheetId="0" hidden="1">{#N/A,#N/A,FALSE,"dec98qtr";#N/A,#N/A,FALSE,"suppdecsep98";#N/A,#N/A,FALSE,"w-dec98"}</definedName>
    <definedName name="___pl12" hidden="1">{#N/A,#N/A,FALSE,"dec98qtr";#N/A,#N/A,FALSE,"suppdecsep98";#N/A,#N/A,FALSE,"w-dec98"}</definedName>
    <definedName name="___pl13" localSheetId="0" hidden="1">{#N/A,#N/A,FALSE,"dec98qtr";#N/A,#N/A,FALSE,"suppdecsep98";#N/A,#N/A,FALSE,"w-dec98"}</definedName>
    <definedName name="___pl13" hidden="1">{#N/A,#N/A,FALSE,"dec98qtr";#N/A,#N/A,FALSE,"suppdecsep98";#N/A,#N/A,FALSE,"w-dec98"}</definedName>
    <definedName name="___pl14" localSheetId="0" hidden="1">{#N/A,#N/A,FALSE,"dec98qtr";#N/A,#N/A,FALSE,"suppdecsep98";#N/A,#N/A,FALSE,"w-dec98"}</definedName>
    <definedName name="___pl14" hidden="1">{#N/A,#N/A,FALSE,"dec98qtr";#N/A,#N/A,FALSE,"suppdecsep98";#N/A,#N/A,FALSE,"w-dec98"}</definedName>
    <definedName name="___pl15" localSheetId="0" hidden="1">{#N/A,#N/A,FALSE,"dec98qtr";#N/A,#N/A,FALSE,"suppdecsep98";#N/A,#N/A,FALSE,"w-dec98"}</definedName>
    <definedName name="___pl15" hidden="1">{#N/A,#N/A,FALSE,"dec98qtr";#N/A,#N/A,FALSE,"suppdecsep98";#N/A,#N/A,FALSE,"w-dec98"}</definedName>
    <definedName name="___pl16" localSheetId="0" hidden="1">{"MSS",#N/A,FALSE,"MSS";"ProdSA",#N/A,FALSE,"ProdSA";"Sales 1",#N/A,FALSE,"SALES";"Transfer 1",#N/A,FALSE,"TRANSFERS"}</definedName>
    <definedName name="___pl16" hidden="1">{"MSS",#N/A,FALSE,"MSS";"ProdSA",#N/A,FALSE,"ProdSA";"Sales 1",#N/A,FALSE,"SALES";"Transfer 1",#N/A,FALSE,"TRANSFERS"}</definedName>
    <definedName name="___pl17" localSheetId="0" hidden="1">{"Sales 2",#N/A,FALSE,"SALES";"Transfer 2",#N/A,FALSE,"TRANSFERS";"A1460",#N/A,FALSE,"A1460"}</definedName>
    <definedName name="___pl17" hidden="1">{"Sales 2",#N/A,FALSE,"SALES";"Transfer 2",#N/A,FALSE,"TRANSFERS";"A1460",#N/A,FALSE,"A1460"}</definedName>
    <definedName name="___pl18" localSheetId="0" hidden="1">{#N/A,#N/A,FALSE,"dec98qtr";#N/A,#N/A,FALSE,"suppdecsep98";#N/A,#N/A,FALSE,"w-dec98"}</definedName>
    <definedName name="___pl18" hidden="1">{#N/A,#N/A,FALSE,"dec98qtr";#N/A,#N/A,FALSE,"suppdecsep98";#N/A,#N/A,FALSE,"w-dec98"}</definedName>
    <definedName name="___pl2" localSheetId="0" hidden="1">{#N/A,#N/A,FALSE,"dec98qtr";#N/A,#N/A,FALSE,"suppdecsep98";#N/A,#N/A,FALSE,"w-dec98"}</definedName>
    <definedName name="___pl2" hidden="1">{#N/A,#N/A,FALSE,"dec98qtr";#N/A,#N/A,FALSE,"suppdecsep98";#N/A,#N/A,FALSE,"w-dec98"}</definedName>
    <definedName name="___pl3" localSheetId="0" hidden="1">{#N/A,#N/A,FALSE,"dec98qtr";#N/A,#N/A,FALSE,"suppdecsep98";#N/A,#N/A,FALSE,"w-dec98"}</definedName>
    <definedName name="___pl3" hidden="1">{#N/A,#N/A,FALSE,"dec98qtr";#N/A,#N/A,FALSE,"suppdecsep98";#N/A,#N/A,FALSE,"w-dec98"}</definedName>
    <definedName name="___pl4" localSheetId="0" hidden="1">{"Sales 2",#N/A,FALSE,"SALES";"Transfer 2",#N/A,FALSE,"TRANSFERS";"A1460",#N/A,FALSE,"A1460"}</definedName>
    <definedName name="___pl4" hidden="1">{"Sales 2",#N/A,FALSE,"SALES";"Transfer 2",#N/A,FALSE,"TRANSFERS";"A1460",#N/A,FALSE,"A1460"}</definedName>
    <definedName name="___pl5" localSheetId="0" hidden="1">{"Sales 2",#N/A,FALSE,"SALES";"Transfer 2",#N/A,FALSE,"TRANSFERS";"A1460",#N/A,FALSE,"A1460"}</definedName>
    <definedName name="___pl5" hidden="1">{"Sales 2",#N/A,FALSE,"SALES";"Transfer 2",#N/A,FALSE,"TRANSFERS";"A1460",#N/A,FALSE,"A1460"}</definedName>
    <definedName name="___pl6" localSheetId="0" hidden="1">{#N/A,#N/A,FALSE,"dec98qtr";#N/A,#N/A,FALSE,"suppdecsep98";#N/A,#N/A,FALSE,"w-dec98"}</definedName>
    <definedName name="___pl6" hidden="1">{#N/A,#N/A,FALSE,"dec98qtr";#N/A,#N/A,FALSE,"suppdecsep98";#N/A,#N/A,FALSE,"w-dec98"}</definedName>
    <definedName name="___pl7" localSheetId="0" hidden="1">{"MSS",#N/A,FALSE,"MSS";"ProdSA",#N/A,FALSE,"ProdSA";"Sales 1",#N/A,FALSE,"SALES";"Transfer 1",#N/A,FALSE,"TRANSFERS"}</definedName>
    <definedName name="___pl7" hidden="1">{"MSS",#N/A,FALSE,"MSS";"ProdSA",#N/A,FALSE,"ProdSA";"Sales 1",#N/A,FALSE,"SALES";"Transfer 1",#N/A,FALSE,"TRANSFERS"}</definedName>
    <definedName name="___pl8" localSheetId="0" hidden="1">{#N/A,#N/A,FALSE,"dec98qtr";#N/A,#N/A,FALSE,"suppdecsep98";#N/A,#N/A,FALSE,"w-dec98"}</definedName>
    <definedName name="___pl8" hidden="1">{#N/A,#N/A,FALSE,"dec98qtr";#N/A,#N/A,FALSE,"suppdecsep98";#N/A,#N/A,FALSE,"w-dec98"}</definedName>
    <definedName name="___pl9" localSheetId="0" hidden="1">{"Sales 2",#N/A,FALSE,"SALES";"Transfer 2",#N/A,FALSE,"TRANSFERS";"A1460",#N/A,FALSE,"A1460"}</definedName>
    <definedName name="___pl9" hidden="1">{"Sales 2",#N/A,FALSE,"SALES";"Transfer 2",#N/A,FALSE,"TRANSFERS";"A1460",#N/A,FALSE,"A1460"}</definedName>
    <definedName name="___ppl99" localSheetId="0" hidden="1">{#N/A,#N/A,FALSE,"dec98qtr";#N/A,#N/A,FALSE,"suppdecsep98";#N/A,#N/A,FALSE,"w-dec98"}</definedName>
    <definedName name="___ppl99" hidden="1">{#N/A,#N/A,FALSE,"dec98qtr";#N/A,#N/A,FALSE,"suppdecsep98";#N/A,#N/A,FALSE,"w-dec98"}</definedName>
    <definedName name="___QB156">#REF!</definedName>
    <definedName name="___Ri3">#REF!</definedName>
    <definedName name="___RZ16">#REF!</definedName>
    <definedName name="___Sum1">#REF!</definedName>
    <definedName name="___Sum2">#REF!</definedName>
    <definedName name="___Sum3">#REF!</definedName>
    <definedName name="___TAX1" localSheetId="0" hidden="1">{"'FF'!$B$57:$B$58"}</definedName>
    <definedName name="___TAX1" hidden="1">{"'FF'!$B$57:$B$58"}</definedName>
    <definedName name="___vb45" localSheetId="0" hidden="1">{"Sales 2",#N/A,FALSE,"SALES";"Transfer 2",#N/A,FALSE,"TRANSFERS";"A1460",#N/A,FALSE,"A1460"}</definedName>
    <definedName name="___vb45" hidden="1">{"Sales 2",#N/A,FALSE,"SALES";"Transfer 2",#N/A,FALSE,"TRANSFERS";"A1460",#N/A,FALSE,"A1460"}</definedName>
    <definedName name="___xlfn.BAHTTEXT" hidden="1">#NAME?</definedName>
    <definedName name="___yu65" localSheetId="0" hidden="1">{#N/A,#N/A,FALSE,"dec98qtr";#N/A,#N/A,FALSE,"suppdecsep98";#N/A,#N/A,FALSE,"w-dec98"}</definedName>
    <definedName name="___yu65" hidden="1">{#N/A,#N/A,FALSE,"dec98qtr";#N/A,#N/A,FALSE,"suppdecsep98";#N/A,#N/A,FALSE,"w-dec98"}</definedName>
    <definedName name="___ZZ13">#REF!</definedName>
    <definedName name="__1__123Graph_ACHART_1" hidden="1">#REF!</definedName>
    <definedName name="__1__123Graph_ACHART_34F" hidden="1">#REF!</definedName>
    <definedName name="__10__123Graph_ACHART_18" hidden="1">#REF!</definedName>
    <definedName name="__10__123Graph_ACHART_52O" hidden="1">#REF!</definedName>
    <definedName name="__11__123Graph_AChart_1AJ" localSheetId="0" hidden="1">#REF!</definedName>
    <definedName name="__11__123Graph_AChart_1AJ" hidden="1">#REF!</definedName>
    <definedName name="__11__123Graph_ACHART_54Q" hidden="1">#REF!</definedName>
    <definedName name="__12__123Graph_AChart_1Q" localSheetId="0" hidden="1">#REF!</definedName>
    <definedName name="__12__123Graph_AChart_1Q" hidden="1">#REF!</definedName>
    <definedName name="__12__123Graph_ACHART_56R" hidden="1">#REF!</definedName>
    <definedName name="__123Graph_A" localSheetId="0" hidden="1">#REF!</definedName>
    <definedName name="__123Graph_A" hidden="1">#REF!</definedName>
    <definedName name="__123Graph_ACURRENT" hidden="1">#REF!</definedName>
    <definedName name="__123Graph_AP䁃STATU1" localSheetId="0" hidden="1">#REF!</definedName>
    <definedName name="__123Graph_AP䁃STATU1" hidden="1">#REF!</definedName>
    <definedName name="__123Graph_AREVCOST" localSheetId="0" hidden="1">#REF!</definedName>
    <definedName name="__123Graph_AREVCOST" hidden="1">#REF!</definedName>
    <definedName name="__123Graph_B" localSheetId="0" hidden="1">#REF!</definedName>
    <definedName name="__123Graph_B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3__123Graph_ACHART_2" hidden="1">#REF!</definedName>
    <definedName name="__13__123Graph_BCHART_34F" hidden="1">#REF!</definedName>
    <definedName name="__14__123Graph_ACHART_22" hidden="1">#REF!</definedName>
    <definedName name="__14__123Graph_BCHART_36G" hidden="1">#REF!</definedName>
    <definedName name="__15__123Graph_ACHART_23" hidden="1">#REF!</definedName>
    <definedName name="__15__123Graph_BCHART_38H" hidden="1">#REF!</definedName>
    <definedName name="__16__123Graph_ACHART_24" hidden="1">#REF!</definedName>
    <definedName name="__16__123Graph_BCHART_39H" hidden="1">#REF!</definedName>
    <definedName name="__17__123Graph_ACHART_25" hidden="1">#REF!</definedName>
    <definedName name="__17__123Graph_BCHART_41I" hidden="1">#REF!</definedName>
    <definedName name="__18__123Graph_ACHART_26" hidden="1">#REF!</definedName>
    <definedName name="__18__123Graph_BCHART_42I" hidden="1">#REF!</definedName>
    <definedName name="__19__123Graph_ACHART_27" hidden="1">#REF!</definedName>
    <definedName name="__19__123Graph_BCHART_44J" hidden="1">#REF!</definedName>
    <definedName name="__2__123Graph_ACHART_10" hidden="1">#REF!</definedName>
    <definedName name="__2__123Graph_ACHART_36G" hidden="1">#REF!</definedName>
    <definedName name="__20__123Graph_ACHART_28" hidden="1">#REF!</definedName>
    <definedName name="__20__123Graph_BCHART_46K" hidden="1">#REF!</definedName>
    <definedName name="__21__123Graph_ACHART_29" hidden="1">#REF!</definedName>
    <definedName name="__21__123Graph_BCHART_50N" hidden="1">#REF!</definedName>
    <definedName name="__22__123Graph_ACHART_3" hidden="1">#REF!</definedName>
    <definedName name="__22__123Graph_BCHART_52O" hidden="1">#REF!</definedName>
    <definedName name="__23__123Graph_ACHART_30" hidden="1">#REF!</definedName>
    <definedName name="__23__123Graph_BCHART_54Q" hidden="1">#REF!</definedName>
    <definedName name="__24__123Graph_ACHART_4" hidden="1">#REF!</definedName>
    <definedName name="__24__123Graph_BCHART_56R" hidden="1">#REF!</definedName>
    <definedName name="__25__123Graph_ACHART_5" hidden="1">#REF!</definedName>
    <definedName name="__26__123Graph_ACHART_6" hidden="1">#REF!</definedName>
    <definedName name="__27__123Graph_ACHART_7" hidden="1">#REF!</definedName>
    <definedName name="__28__123Graph_ACHART_8" hidden="1">#REF!</definedName>
    <definedName name="__29__123Graph_ACHART_9" hidden="1">#REF!</definedName>
    <definedName name="__2FLOW">#REF!</definedName>
    <definedName name="__3__123Graph_ACHART_11" hidden="1">#REF!</definedName>
    <definedName name="__3__123Graph_ACHART_38H" hidden="1">#REF!</definedName>
    <definedName name="__30__123Graph_BCHART_1" hidden="1">#REF!</definedName>
    <definedName name="__31__123Graph_BCHART_10" hidden="1">#REF!</definedName>
    <definedName name="__32__123Graph_BCHART_11" hidden="1">#REF!</definedName>
    <definedName name="__33__123Graph_BCHART_12" hidden="1">#REF!</definedName>
    <definedName name="__34__123Graph_BCHART_13" hidden="1">#REF!</definedName>
    <definedName name="__35__123Graph_BCHART_14" hidden="1">#REF!</definedName>
    <definedName name="__36__123Graph_BCHART_15" hidden="1">#REF!</definedName>
    <definedName name="__37__123Graph_BCHART_16" hidden="1">#REF!</definedName>
    <definedName name="__38__123Graph_BCHART_17" hidden="1">#REF!</definedName>
    <definedName name="__39__123Graph_BCHART_18" hidden="1">#REF!</definedName>
    <definedName name="__4__123Graph_ACHART_12" hidden="1">#REF!</definedName>
    <definedName name="__4__123Graph_ACHART_39H" hidden="1">#REF!</definedName>
    <definedName name="__40__123Graph_BChart_1Q" localSheetId="0" hidden="1">#REF!</definedName>
    <definedName name="__40__123Graph_BChart_1Q" hidden="1">#REF!</definedName>
    <definedName name="__41__123Graph_BCHART_2" hidden="1">#REF!</definedName>
    <definedName name="__42__123Graph_BCHART_22" hidden="1">#REF!</definedName>
    <definedName name="__43__123Graph_BCHART_23" hidden="1">#REF!</definedName>
    <definedName name="__44__123Graph_BCHART_24" hidden="1">#REF!</definedName>
    <definedName name="__45__123Graph_BCHART_25" hidden="1">#REF!</definedName>
    <definedName name="__46__123Graph_BCHART_26" hidden="1">#REF!</definedName>
    <definedName name="__47__123Graph_BCHART_27" hidden="1">#REF!</definedName>
    <definedName name="__48__123Graph_BCHART_28" hidden="1">#REF!</definedName>
    <definedName name="__49__123Graph_BCHART_29" hidden="1">#REF!</definedName>
    <definedName name="__5__123Graph_ACHART_13" hidden="1">#REF!</definedName>
    <definedName name="__5__123Graph_ACHART_41I" hidden="1">#REF!</definedName>
    <definedName name="__50__123Graph_BCHART_3" hidden="1">#REF!</definedName>
    <definedName name="__51__123Graph_BCHART_30" hidden="1">#REF!</definedName>
    <definedName name="__52__123Graph_BCHART_4" hidden="1">#REF!</definedName>
    <definedName name="__53__123Graph_BCHART_5" hidden="1">#REF!</definedName>
    <definedName name="__54__123Graph_BCHART_6" hidden="1">#REF!</definedName>
    <definedName name="__55__123Graph_BCHART_7" hidden="1">#REF!</definedName>
    <definedName name="__56__123Graph_BCHART_8" hidden="1">#REF!</definedName>
    <definedName name="__57__123Graph_BCHART_9" hidden="1">#REF!</definedName>
    <definedName name="__58__123Graph_CCHART_25" hidden="1">#REF!</definedName>
    <definedName name="__59__123Graph_CCHART_26" hidden="1">#REF!</definedName>
    <definedName name="__6__123Graph_ACHART_14" hidden="1">#REF!</definedName>
    <definedName name="__6__123Graph_ACHART_42I" hidden="1">#REF!</definedName>
    <definedName name="__60__123Graph_CCHART_27" hidden="1">#REF!</definedName>
    <definedName name="__61__123Graph_CCHART_28" hidden="1">#REF!</definedName>
    <definedName name="__62__123Graph_CCHART_29" hidden="1">#REF!</definedName>
    <definedName name="__63__123Graph_CCHART_30" hidden="1">#REF!</definedName>
    <definedName name="__64__123Graph_DCHART_25" hidden="1">#REF!</definedName>
    <definedName name="__65__123Graph_DCHART_26" hidden="1">#REF!</definedName>
    <definedName name="__66__123Graph_DCHART_27" hidden="1">#REF!</definedName>
    <definedName name="__67__123Graph_DCHART_28" hidden="1">#REF!</definedName>
    <definedName name="__68__123Graph_DCHART_29" hidden="1">#REF!</definedName>
    <definedName name="__69__123Graph_DCHART_30" hidden="1">#REF!</definedName>
    <definedName name="__7__123Graph_ACHART_15" hidden="1">#REF!</definedName>
    <definedName name="__7__123Graph_ACHART_44J" hidden="1">#REF!</definedName>
    <definedName name="__70__123Graph_XCHART_10" hidden="1">#REF!</definedName>
    <definedName name="__71__123Graph_XCHART_11" hidden="1">#REF!</definedName>
    <definedName name="__72__123Graph_XCHART_12" hidden="1">#REF!</definedName>
    <definedName name="__73__123Graph_XCHART_13" hidden="1">#REF!</definedName>
    <definedName name="__74__123Graph_XCHART_14" hidden="1">#REF!</definedName>
    <definedName name="__75__123Graph_XCHART_15" hidden="1">#REF!</definedName>
    <definedName name="__76__123Graph_XCHART_16" hidden="1">#REF!</definedName>
    <definedName name="__77__123Graph_XCHART_2" hidden="1">#REF!</definedName>
    <definedName name="__78__123Graph_XCHART_3" hidden="1">#REF!</definedName>
    <definedName name="__79__123Graph_XCHART_4" hidden="1">#REF!</definedName>
    <definedName name="__8__123Graph_ACHART_16" hidden="1">#REF!</definedName>
    <definedName name="__8__123Graph_ACHART_46K" hidden="1">#REF!</definedName>
    <definedName name="__80__123Graph_XCHART_5" hidden="1">#REF!</definedName>
    <definedName name="__81__123Graph_XCHART_6" hidden="1">#REF!</definedName>
    <definedName name="__82__123Graph_XCHART_7" hidden="1">#REF!</definedName>
    <definedName name="__83__123Graph_XCHART_8" hidden="1">#REF!</definedName>
    <definedName name="__84__123Graph_XCHART_9" hidden="1">#REF!</definedName>
    <definedName name="__9__123Graph_ACHART_17" hidden="1">#REF!</definedName>
    <definedName name="__9__123Graph_ACHART_50N" hidden="1">#REF!</definedName>
    <definedName name="__aaa186">#REF!</definedName>
    <definedName name="__Am1" localSheetId="0" hidden="1">#REF!</definedName>
    <definedName name="__Am1" hidden="1">#REF!</definedName>
    <definedName name="__as1" localSheetId="0" hidden="1">{"FCB_ALL",#N/A,FALSE,"FCB"}</definedName>
    <definedName name="__as1" hidden="1">{"FCB_ALL",#N/A,FALSE,"FCB"}</definedName>
    <definedName name="__AS2" localSheetId="0" hidden="1">{"FCB_ALL",#N/A,FALSE,"FCB"}</definedName>
    <definedName name="__AS2" hidden="1">{"FCB_ALL",#N/A,FALSE,"FCB"}</definedName>
    <definedName name="__as3" localSheetId="0" hidden="1">{"FCB_ALL",#N/A,FALSE,"FCB"}</definedName>
    <definedName name="__as3" hidden="1">{"FCB_ALL",#N/A,FALSE,"FCB"}</definedName>
    <definedName name="__AS4" localSheetId="0" hidden="1">{"FCB_ALL",#N/A,FALSE,"FCB"}</definedName>
    <definedName name="__AS4" hidden="1">{"FCB_ALL",#N/A,FALSE,"FCB"}</definedName>
    <definedName name="__as45" localSheetId="0" hidden="1">{#N/A,#N/A,FALSE,"dec98qtr";#N/A,#N/A,FALSE,"suppdecsep98";#N/A,#N/A,FALSE,"w-dec98"}</definedName>
    <definedName name="__as45" hidden="1">{#N/A,#N/A,FALSE,"dec98qtr";#N/A,#N/A,FALSE,"suppdecsep98";#N/A,#N/A,FALSE,"w-dec98"}</definedName>
    <definedName name="__as6" localSheetId="0" hidden="1">{"FCB_ALL",#N/A,FALSE,"FCB"}</definedName>
    <definedName name="__as6" hidden="1">{"FCB_ALL",#N/A,FALSE,"FCB"}</definedName>
    <definedName name="__AS7" localSheetId="0" hidden="1">{"FCB_ALL",#N/A,FALSE,"FCB"}</definedName>
    <definedName name="__AS7" hidden="1">{"FCB_ALL",#N/A,FALSE,"FCB"}</definedName>
    <definedName name="__ATX1" localSheetId="0" hidden="1">{"'FF'!$B$57:$B$58"}</definedName>
    <definedName name="__ATX1" hidden="1">{"'FF'!$B$57:$B$58"}</definedName>
    <definedName name="__cf66" localSheetId="0" hidden="1">{#N/A,#N/A,FALSE,"dec98qtr";#N/A,#N/A,FALSE,"suppdecsep98";#N/A,#N/A,FALSE,"w-dec98"}</definedName>
    <definedName name="__cf66" hidden="1">{#N/A,#N/A,FALSE,"dec98qtr";#N/A,#N/A,FALSE,"suppdecsep98";#N/A,#N/A,FALSE,"w-dec98"}</definedName>
    <definedName name="__D72000">#REF!</definedName>
    <definedName name="__DCF1" localSheetId="0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emandLoad">TRUE</definedName>
    <definedName name="__FDS_HYPERLINK_TOGGLE_STATE__" hidden="1">"ON"</definedName>
    <definedName name="__FDS_UNIQUE_RANGE_ID_GENERATOR_COUNTER" hidden="1">13</definedName>
    <definedName name="__hg45" localSheetId="0" hidden="1">{"MSS",#N/A,FALSE,"MSS";"ProdSA",#N/A,FALSE,"ProdSA";"Sales 1",#N/A,FALSE,"SALES";"Transfer 1",#N/A,FALSE,"TRANSFERS"}</definedName>
    <definedName name="__hg45" hidden="1">{"MSS",#N/A,FALSE,"MSS";"ProdSA",#N/A,FALSE,"ProdSA";"Sales 1",#N/A,FALSE,"SALES";"Transfer 1",#N/A,FALSE,"TRANSFERS"}</definedName>
    <definedName name="__hg76" localSheetId="0" hidden="1">{"MSS",#N/A,FALSE,"MSS";"ProdSA",#N/A,FALSE,"ProdSA";"Sales 1",#N/A,FALSE,"SALES";"Transfer 1",#N/A,FALSE,"TRANSFERS"}</definedName>
    <definedName name="__hg76" hidden="1">{"MSS",#N/A,FALSE,"MSS";"ProdSA",#N/A,FALSE,"ProdSA";"Sales 1",#N/A,FALSE,"SALES";"Transfer 1",#N/A,FALSE,"TRANSFERS"}</definedName>
    <definedName name="__IntlFixup" hidden="1">TRUE</definedName>
    <definedName name="__Jan09">#REF!</definedName>
    <definedName name="__jk44" localSheetId="0" hidden="1">{"Sales 2",#N/A,FALSE,"SALES";"Transfer 2",#N/A,FALSE,"TRANSFERS";"A1460",#N/A,FALSE,"A1460"}</definedName>
    <definedName name="__jk44" hidden="1">{"Sales 2",#N/A,FALSE,"SALES";"Transfer 2",#N/A,FALSE,"TRANSFERS";"A1460",#N/A,FALSE,"A1460"}</definedName>
    <definedName name="__key1" localSheetId="0" hidden="1">#REF!</definedName>
    <definedName name="__key1" hidden="1">#REF!</definedName>
    <definedName name="__kl87" localSheetId="0" hidden="1">{#N/A,#N/A,FALSE,"dec98qtr";#N/A,#N/A,FALSE,"suppdecsep98";#N/A,#N/A,FALSE,"w-dec98"}</definedName>
    <definedName name="__kl87" hidden="1">{#N/A,#N/A,FALSE,"dec98qtr";#N/A,#N/A,FALSE,"suppdecsep98";#N/A,#N/A,FALSE,"w-dec98"}</definedName>
    <definedName name="__lk38" localSheetId="0" hidden="1">{"MSS",#N/A,FALSE,"MSS";"ProdSA",#N/A,FALSE,"ProdSA";"Sales 1",#N/A,FALSE,"SALES";"Transfer 1",#N/A,FALSE,"TRANSFERS"}</definedName>
    <definedName name="__lk38" hidden="1">{"MSS",#N/A,FALSE,"MSS";"ProdSA",#N/A,FALSE,"ProdSA";"Sales 1",#N/A,FALSE,"SALES";"Transfer 1",#N/A,FALSE,"TRANSFERS"}</definedName>
    <definedName name="__MDE1">#REF!</definedName>
    <definedName name="__MEI2" localSheetId="0" hidden="1">#REF!</definedName>
    <definedName name="__MEI2" hidden="1">#REF!</definedName>
    <definedName name="__ml54" localSheetId="0" hidden="1">{#N/A,#N/A,FALSE,"dec98qtr";#N/A,#N/A,FALSE,"suppdecsep98";#N/A,#N/A,FALSE,"w-dec98"}</definedName>
    <definedName name="__ml54" hidden="1">{#N/A,#N/A,FALSE,"dec98qtr";#N/A,#N/A,FALSE,"suppdecsep98";#N/A,#N/A,FALSE,"w-dec98"}</definedName>
    <definedName name="__njh99" localSheetId="0" hidden="1">{#N/A,#N/A,FALSE,"dec98qtr";#N/A,#N/A,FALSE,"suppdecsep98";#N/A,#N/A,FALSE,"w-dec98"}</definedName>
    <definedName name="__njh99" hidden="1">{#N/A,#N/A,FALSE,"dec98qtr";#N/A,#N/A,FALSE,"suppdecsep98";#N/A,#N/A,FALSE,"w-dec98"}</definedName>
    <definedName name="__nm45" localSheetId="0" hidden="1">{"Sales 2",#N/A,FALSE,"SALES";"Transfer 2",#N/A,FALSE,"TRANSFERS";"A1460",#N/A,FALSE,"A1460"}</definedName>
    <definedName name="__nm45" hidden="1">{"Sales 2",#N/A,FALSE,"SALES";"Transfer 2",#N/A,FALSE,"TRANSFERS";"A1460",#N/A,FALSE,"A1460"}</definedName>
    <definedName name="__nm56" localSheetId="0" hidden="1">{"Sales 2",#N/A,FALSE,"SALES";"Transfer 2",#N/A,FALSE,"TRANSFERS";"A1460",#N/A,FALSE,"A1460"}</definedName>
    <definedName name="__nm56" hidden="1">{"Sales 2",#N/A,FALSE,"SALES";"Transfer 2",#N/A,FALSE,"TRANSFERS";"A1460",#N/A,FALSE,"A1460"}</definedName>
    <definedName name="__NYZ2">#REF!</definedName>
    <definedName name="__pl10" localSheetId="0" hidden="1">{"MSS",#N/A,FALSE,"MSS";"ProdSA",#N/A,FALSE,"ProdSA";"Sales 1",#N/A,FALSE,"SALES";"Transfer 1",#N/A,FALSE,"TRANSFERS"}</definedName>
    <definedName name="__pl10" hidden="1">{"MSS",#N/A,FALSE,"MSS";"ProdSA",#N/A,FALSE,"ProdSA";"Sales 1",#N/A,FALSE,"SALES";"Transfer 1",#N/A,FALSE,"TRANSFERS"}</definedName>
    <definedName name="__pl11" localSheetId="0" hidden="1">{#N/A,#N/A,FALSE,"dec98qtr";#N/A,#N/A,FALSE,"suppdecsep98";#N/A,#N/A,FALSE,"w-dec98"}</definedName>
    <definedName name="__pl11" hidden="1">{#N/A,#N/A,FALSE,"dec98qtr";#N/A,#N/A,FALSE,"suppdecsep98";#N/A,#N/A,FALSE,"w-dec98"}</definedName>
    <definedName name="__pl12" localSheetId="0" hidden="1">{#N/A,#N/A,FALSE,"dec98qtr";#N/A,#N/A,FALSE,"suppdecsep98";#N/A,#N/A,FALSE,"w-dec98"}</definedName>
    <definedName name="__pl12" hidden="1">{#N/A,#N/A,FALSE,"dec98qtr";#N/A,#N/A,FALSE,"suppdecsep98";#N/A,#N/A,FALSE,"w-dec98"}</definedName>
    <definedName name="__pl13" localSheetId="0" hidden="1">{#N/A,#N/A,FALSE,"dec98qtr";#N/A,#N/A,FALSE,"suppdecsep98";#N/A,#N/A,FALSE,"w-dec98"}</definedName>
    <definedName name="__pl13" hidden="1">{#N/A,#N/A,FALSE,"dec98qtr";#N/A,#N/A,FALSE,"suppdecsep98";#N/A,#N/A,FALSE,"w-dec98"}</definedName>
    <definedName name="__pl14" localSheetId="0" hidden="1">{#N/A,#N/A,FALSE,"dec98qtr";#N/A,#N/A,FALSE,"suppdecsep98";#N/A,#N/A,FALSE,"w-dec98"}</definedName>
    <definedName name="__pl14" hidden="1">{#N/A,#N/A,FALSE,"dec98qtr";#N/A,#N/A,FALSE,"suppdecsep98";#N/A,#N/A,FALSE,"w-dec98"}</definedName>
    <definedName name="__pl15" localSheetId="0" hidden="1">{#N/A,#N/A,FALSE,"dec98qtr";#N/A,#N/A,FALSE,"suppdecsep98";#N/A,#N/A,FALSE,"w-dec98"}</definedName>
    <definedName name="__pl15" hidden="1">{#N/A,#N/A,FALSE,"dec98qtr";#N/A,#N/A,FALSE,"suppdecsep98";#N/A,#N/A,FALSE,"w-dec98"}</definedName>
    <definedName name="__pl16" localSheetId="0" hidden="1">{"MSS",#N/A,FALSE,"MSS";"ProdSA",#N/A,FALSE,"ProdSA";"Sales 1",#N/A,FALSE,"SALES";"Transfer 1",#N/A,FALSE,"TRANSFERS"}</definedName>
    <definedName name="__pl16" hidden="1">{"MSS",#N/A,FALSE,"MSS";"ProdSA",#N/A,FALSE,"ProdSA";"Sales 1",#N/A,FALSE,"SALES";"Transfer 1",#N/A,FALSE,"TRANSFERS"}</definedName>
    <definedName name="__pl17" localSheetId="0" hidden="1">{"Sales 2",#N/A,FALSE,"SALES";"Transfer 2",#N/A,FALSE,"TRANSFERS";"A1460",#N/A,FALSE,"A1460"}</definedName>
    <definedName name="__pl17" hidden="1">{"Sales 2",#N/A,FALSE,"SALES";"Transfer 2",#N/A,FALSE,"TRANSFERS";"A1460",#N/A,FALSE,"A1460"}</definedName>
    <definedName name="__pl18" localSheetId="0" hidden="1">{#N/A,#N/A,FALSE,"dec98qtr";#N/A,#N/A,FALSE,"suppdecsep98";#N/A,#N/A,FALSE,"w-dec98"}</definedName>
    <definedName name="__pl18" hidden="1">{#N/A,#N/A,FALSE,"dec98qtr";#N/A,#N/A,FALSE,"suppdecsep98";#N/A,#N/A,FALSE,"w-dec98"}</definedName>
    <definedName name="__pl2" localSheetId="0" hidden="1">{#N/A,#N/A,FALSE,"dec98qtr";#N/A,#N/A,FALSE,"suppdecsep98";#N/A,#N/A,FALSE,"w-dec98"}</definedName>
    <definedName name="__pl2" hidden="1">{#N/A,#N/A,FALSE,"dec98qtr";#N/A,#N/A,FALSE,"suppdecsep98";#N/A,#N/A,FALSE,"w-dec98"}</definedName>
    <definedName name="__pl3" localSheetId="0" hidden="1">{#N/A,#N/A,FALSE,"dec98qtr";#N/A,#N/A,FALSE,"suppdecsep98";#N/A,#N/A,FALSE,"w-dec98"}</definedName>
    <definedName name="__pl3" hidden="1">{#N/A,#N/A,FALSE,"dec98qtr";#N/A,#N/A,FALSE,"suppdecsep98";#N/A,#N/A,FALSE,"w-dec98"}</definedName>
    <definedName name="__pl4" localSheetId="0" hidden="1">{"Sales 2",#N/A,FALSE,"SALES";"Transfer 2",#N/A,FALSE,"TRANSFERS";"A1460",#N/A,FALSE,"A1460"}</definedName>
    <definedName name="__pl4" hidden="1">{"Sales 2",#N/A,FALSE,"SALES";"Transfer 2",#N/A,FALSE,"TRANSFERS";"A1460",#N/A,FALSE,"A1460"}</definedName>
    <definedName name="__pl5" localSheetId="0" hidden="1">{"Sales 2",#N/A,FALSE,"SALES";"Transfer 2",#N/A,FALSE,"TRANSFERS";"A1460",#N/A,FALSE,"A1460"}</definedName>
    <definedName name="__pl5" hidden="1">{"Sales 2",#N/A,FALSE,"SALES";"Transfer 2",#N/A,FALSE,"TRANSFERS";"A1460",#N/A,FALSE,"A1460"}</definedName>
    <definedName name="__pl6" localSheetId="0" hidden="1">{#N/A,#N/A,FALSE,"dec98qtr";#N/A,#N/A,FALSE,"suppdecsep98";#N/A,#N/A,FALSE,"w-dec98"}</definedName>
    <definedName name="__pl6" hidden="1">{#N/A,#N/A,FALSE,"dec98qtr";#N/A,#N/A,FALSE,"suppdecsep98";#N/A,#N/A,FALSE,"w-dec98"}</definedName>
    <definedName name="__pl7" localSheetId="0" hidden="1">{"MSS",#N/A,FALSE,"MSS";"ProdSA",#N/A,FALSE,"ProdSA";"Sales 1",#N/A,FALSE,"SALES";"Transfer 1",#N/A,FALSE,"TRANSFERS"}</definedName>
    <definedName name="__pl7" hidden="1">{"MSS",#N/A,FALSE,"MSS";"ProdSA",#N/A,FALSE,"ProdSA";"Sales 1",#N/A,FALSE,"SALES";"Transfer 1",#N/A,FALSE,"TRANSFERS"}</definedName>
    <definedName name="__pl8" localSheetId="0" hidden="1">{#N/A,#N/A,FALSE,"dec98qtr";#N/A,#N/A,FALSE,"suppdecsep98";#N/A,#N/A,FALSE,"w-dec98"}</definedName>
    <definedName name="__pl8" hidden="1">{#N/A,#N/A,FALSE,"dec98qtr";#N/A,#N/A,FALSE,"suppdecsep98";#N/A,#N/A,FALSE,"w-dec98"}</definedName>
    <definedName name="__pl9" localSheetId="0" hidden="1">{"Sales 2",#N/A,FALSE,"SALES";"Transfer 2",#N/A,FALSE,"TRANSFERS";"A1460",#N/A,FALSE,"A1460"}</definedName>
    <definedName name="__pl9" hidden="1">{"Sales 2",#N/A,FALSE,"SALES";"Transfer 2",#N/A,FALSE,"TRANSFERS";"A1460",#N/A,FALSE,"A1460"}</definedName>
    <definedName name="__ppl99" localSheetId="0" hidden="1">{#N/A,#N/A,FALSE,"dec98qtr";#N/A,#N/A,FALSE,"suppdecsep98";#N/A,#N/A,FALSE,"w-dec98"}</definedName>
    <definedName name="__ppl99" hidden="1">{#N/A,#N/A,FALSE,"dec98qtr";#N/A,#N/A,FALSE,"suppdecsep98";#N/A,#N/A,FALSE,"w-dec98"}</definedName>
    <definedName name="__QB156">#REF!</definedName>
    <definedName name="__Ri3">#REF!</definedName>
    <definedName name="__RZ16">#REF!</definedName>
    <definedName name="__sal2" localSheetId="0" hidden="1">{"SALARIOS",#N/A,FALSE,"Hoja3";"SUELDOS EMPLEADOS",#N/A,FALSE,"Hoja4";"SUELDOS EJECUTIVOS",#N/A,FALSE,"Hoja5"}</definedName>
    <definedName name="__sal2" hidden="1">{"SALARIOS",#N/A,FALSE,"Hoja3";"SUELDOS EMPLEADOS",#N/A,FALSE,"Hoja4";"SUELDOS EJECUTIVOS",#N/A,FALSE,"Hoja5"}</definedName>
    <definedName name="__Sum1">#REF!</definedName>
    <definedName name="__Sum2">#REF!</definedName>
    <definedName name="__Sum3">#REF!</definedName>
    <definedName name="__T3" hidden="1">#REF!</definedName>
    <definedName name="__T4" hidden="1">#REF!</definedName>
    <definedName name="__T5" hidden="1">#REF!</definedName>
    <definedName name="__T6" hidden="1">#REF!</definedName>
    <definedName name="__TAX1" localSheetId="0" hidden="1">{"'FF'!$B$57:$B$58"}</definedName>
    <definedName name="__TAX1" hidden="1">{"'FF'!$B$57:$B$58"}</definedName>
    <definedName name="__vb45" localSheetId="0" hidden="1">{"Sales 2",#N/A,FALSE,"SALES";"Transfer 2",#N/A,FALSE,"TRANSFERS";"A1460",#N/A,FALSE,"A1460"}</definedName>
    <definedName name="__vb45" hidden="1">{"Sales 2",#N/A,FALSE,"SALES";"Transfer 2",#N/A,FALSE,"TRANSFERS";"A1460",#N/A,FALSE,"A1460"}</definedName>
    <definedName name="__xlfn.BAHTTEXT" hidden="1">#NAME?</definedName>
    <definedName name="__yu65" localSheetId="0" hidden="1">{#N/A,#N/A,FALSE,"dec98qtr";#N/A,#N/A,FALSE,"suppdecsep98";#N/A,#N/A,FALSE,"w-dec98"}</definedName>
    <definedName name="__yu65" hidden="1">{#N/A,#N/A,FALSE,"dec98qtr";#N/A,#N/A,FALSE,"suppdecsep98";#N/A,#N/A,FALSE,"w-dec98"}</definedName>
    <definedName name="__ZZ13">#REF!</definedName>
    <definedName name="_0">#REF!</definedName>
    <definedName name="_1__123Graph_ACHART_1" hidden="1">#REF!</definedName>
    <definedName name="_1__123Graph_ACHART_34F" hidden="1">#REF!</definedName>
    <definedName name="_1__FDSAUDITLINK__" localSheetId="0" hidden="1">{"fdsup://IBCentral/FAT Viewer?action=UPDATE&amp;creator=factset&amp;DOC_NAME=fat:reuters_annual_source_window.fat&amp;display_string=Audit&amp;DYN_ARGS=TRUE&amp;VAR:ID1=B2NWDF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B2NWDF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0__123Graph_ACHART_18" hidden="1">#REF!</definedName>
    <definedName name="_10__123Graph_ACHART_52O" hidden="1">#REF!</definedName>
    <definedName name="_10__FDSAUDITLINK__" localSheetId="0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____123Graph_LBL_ECHART_2" localSheetId="0" hidden="1">#REF!</definedName>
    <definedName name="_105______123Graph_LBL_ECHART_2" hidden="1">#REF!</definedName>
    <definedName name="_105__123Graph_LBL_DCHART_2" localSheetId="0" hidden="1">#REF!</definedName>
    <definedName name="_105__123Graph_LBL_DCHART_2" hidden="1">#REF!</definedName>
    <definedName name="_11__123Graph_AChart_1AJ" localSheetId="0" hidden="1">#REF!</definedName>
    <definedName name="_11__123Graph_AChart_1AJ" hidden="1">#REF!</definedName>
    <definedName name="_11__123Graph_ACHART_54Q" hidden="1">#REF!</definedName>
    <definedName name="_11__FDSAUDITLINK__" localSheetId="0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____123Graph_LBL_FCHART_2" localSheetId="0" hidden="1">#REF!</definedName>
    <definedName name="_112______123Graph_LBL_FCHART_2" hidden="1">#REF!</definedName>
    <definedName name="_112__123Graph_LBL_ECHART_2" localSheetId="0" hidden="1">#REF!</definedName>
    <definedName name="_112__123Graph_LBL_ECHART_2" hidden="1">#REF!</definedName>
    <definedName name="_119_____123Graph_ACHART_1" localSheetId="0" hidden="1">#REF!</definedName>
    <definedName name="_119_____123Graph_ACHART_1" hidden="1">#REF!</definedName>
    <definedName name="_119__123Graph_LBL_FCHART_2" localSheetId="0" hidden="1">#REF!</definedName>
    <definedName name="_119__123Graph_LBL_FCHART_2" hidden="1">#REF!</definedName>
    <definedName name="_12__123Graph_AChart_1Q" localSheetId="0" hidden="1">#REF!</definedName>
    <definedName name="_12__123Graph_AChart_1Q" hidden="1">#REF!</definedName>
    <definedName name="_12__123Graph_ACHART_56R" hidden="1">#REF!</definedName>
    <definedName name="_12__FDSAUDITLINK__" localSheetId="0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___123Graph_ACHART_2" localSheetId="0" hidden="1">#REF!</definedName>
    <definedName name="_126_____123Graph_ACHART_2" hidden="1">#REF!</definedName>
    <definedName name="_13__123Graph_ACHART_2" hidden="1">#REF!</definedName>
    <definedName name="_13__123Graph_BCHART_34F" hidden="1">#REF!</definedName>
    <definedName name="_133_____123Graph_BCHART_1" localSheetId="0" hidden="1">#REF!</definedName>
    <definedName name="_133_____123Graph_BCHART_1" hidden="1">#REF!</definedName>
    <definedName name="_14______123Graph_ACHART_2" localSheetId="0" hidden="1">#REF!</definedName>
    <definedName name="_14______123Graph_ACHART_2" hidden="1">#REF!</definedName>
    <definedName name="_14__123Graph_ACHART_2" localSheetId="0" hidden="1">#REF!</definedName>
    <definedName name="_14__123Graph_ACHART_2" hidden="1">#REF!</definedName>
    <definedName name="_14__123Graph_ACHART_22" hidden="1">#REF!</definedName>
    <definedName name="_14__123Graph_BCHART_36G" hidden="1">#REF!</definedName>
    <definedName name="_140_____123Graph_BCHART_2" localSheetId="0" hidden="1">#REF!</definedName>
    <definedName name="_140_____123Graph_BCHART_2" hidden="1">#REF!</definedName>
    <definedName name="_147_____123Graph_CCHART_1" localSheetId="0" hidden="1">#REF!</definedName>
    <definedName name="_147_____123Graph_CCHART_1" hidden="1">#REF!</definedName>
    <definedName name="_15__123Graph_ACHART_23" hidden="1">#REF!</definedName>
    <definedName name="_15__123Graph_BCHART_38H" hidden="1">#REF!</definedName>
    <definedName name="_154_____123Graph_CCHART_2" localSheetId="0" hidden="1">#REF!</definedName>
    <definedName name="_154_____123Graph_CCHART_2" hidden="1">#REF!</definedName>
    <definedName name="_16__123Graph_ACHART_24" hidden="1">#REF!</definedName>
    <definedName name="_16__123Graph_BCHART_39H" hidden="1">#REF!</definedName>
    <definedName name="_161_____123Graph_DCHART_2" localSheetId="0" hidden="1">#REF!</definedName>
    <definedName name="_161_____123Graph_DCHART_2" hidden="1">#REF!</definedName>
    <definedName name="_168_____123Graph_ECHART_2" localSheetId="0" hidden="1">#REF!</definedName>
    <definedName name="_168_____123Graph_ECHART_2" hidden="1">#REF!</definedName>
    <definedName name="_17__123Graph_ACHART_25" hidden="1">#REF!</definedName>
    <definedName name="_17__123Graph_BCHART_41I" hidden="1">#REF!</definedName>
    <definedName name="_17_Feb_09">#REF!</definedName>
    <definedName name="_175_____123Graph_FCHART_2" localSheetId="0" hidden="1">#REF!</definedName>
    <definedName name="_175_____123Graph_FCHART_2" hidden="1">#REF!</definedName>
    <definedName name="_18__123Graph_ACHART_26" hidden="1">#REF!</definedName>
    <definedName name="_18__123Graph_BCHART_42I" hidden="1">#REF!</definedName>
    <definedName name="_182_____123Graph_LBL_ACHART_1" localSheetId="0" hidden="1">#REF!</definedName>
    <definedName name="_182_____123Graph_LBL_ACHART_1" hidden="1">#REF!</definedName>
    <definedName name="_189_____123Graph_LBL_ACHART_2" localSheetId="0" hidden="1">#REF!</definedName>
    <definedName name="_189_____123Graph_LBL_ACHART_2" hidden="1">#REF!</definedName>
    <definedName name="_19__123Graph_ACHART_27" hidden="1">#REF!</definedName>
    <definedName name="_19__123Graph_BCHART_44J" hidden="1">#REF!</definedName>
    <definedName name="_196_____123Graph_LBL_BCHART_1" localSheetId="0" hidden="1">#REF!</definedName>
    <definedName name="_196_____123Graph_LBL_BCHART_1" hidden="1">#REF!</definedName>
    <definedName name="_1FLOW">#REF!</definedName>
    <definedName name="_1ST_QTR">#REF!</definedName>
    <definedName name="_2__123Graph_ACHART_10" hidden="1">#REF!</definedName>
    <definedName name="_2__123Graph_ACHART_36G" hidden="1">#REF!</definedName>
    <definedName name="_2__FDSAUDITLINK__" localSheetId="0" hidden="1">{"fdsup://IBCentral/FAT Viewer?action=UPDATE&amp;creator=factset&amp;DOC_NAME=fat:reuters_annual_source_window.fat&amp;display_string=Audit&amp;DYN_ARGS=TRUE&amp;VAR:ID1=B1JNK8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annual_source_window.fat&amp;display_string=Audit&amp;DYN_ARGS=TRUE&amp;VAR:ID1=B1JNK8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0__123Graph_ACHART_28" hidden="1">#REF!</definedName>
    <definedName name="_20__123Graph_BCHART_46K" hidden="1">#REF!</definedName>
    <definedName name="_203_____123Graph_LBL_BCHART_2" localSheetId="0" hidden="1">#REF!</definedName>
    <definedName name="_203_____123Graph_LBL_BCHART_2" hidden="1">#REF!</definedName>
    <definedName name="_21______123Graph_BCHART_2" localSheetId="0" hidden="1">#REF!</definedName>
    <definedName name="_21______123Graph_BCHART_2" hidden="1">#REF!</definedName>
    <definedName name="_21__123Graph_ACHART_29" hidden="1">#REF!</definedName>
    <definedName name="_21__123Graph_BCHART_1" localSheetId="0" hidden="1">#REF!</definedName>
    <definedName name="_21__123Graph_BCHART_1" hidden="1">#REF!</definedName>
    <definedName name="_21__123Graph_BCHART_50N" hidden="1">#REF!</definedName>
    <definedName name="_210_____123Graph_LBL_CCHART_2" localSheetId="0" hidden="1">#REF!</definedName>
    <definedName name="_210_____123Graph_LBL_CCHART_2" hidden="1">#REF!</definedName>
    <definedName name="_217_____123Graph_LBL_DCHART_2" localSheetId="0" hidden="1">#REF!</definedName>
    <definedName name="_217_____123Graph_LBL_DCHART_2" hidden="1">#REF!</definedName>
    <definedName name="_22__123Graph_ACHART_3" hidden="1">#REF!</definedName>
    <definedName name="_22__123Graph_BCHART_52O" hidden="1">#REF!</definedName>
    <definedName name="_224_____123Graph_LBL_ECHART_2" localSheetId="0" hidden="1">#REF!</definedName>
    <definedName name="_224_____123Graph_LBL_ECHART_2" hidden="1">#REF!</definedName>
    <definedName name="_23__123Graph_ACHART_30" hidden="1">#REF!</definedName>
    <definedName name="_23__123Graph_BCHART_54Q" hidden="1">#REF!</definedName>
    <definedName name="_231_____123Graph_LBL_FCHART_2" localSheetId="0" hidden="1">#REF!</definedName>
    <definedName name="_231_____123Graph_LBL_FCHART_2" hidden="1">#REF!</definedName>
    <definedName name="_238____123Graph_ACHART_1" localSheetId="0" hidden="1">#REF!</definedName>
    <definedName name="_238____123Graph_ACHART_1" hidden="1">#REF!</definedName>
    <definedName name="_24__123Graph_ACHART_4" hidden="1">#REF!</definedName>
    <definedName name="_24__123Graph_BCHART_56R" hidden="1">#REF!</definedName>
    <definedName name="_245____123Graph_ACHART_2" localSheetId="0" hidden="1">#REF!</definedName>
    <definedName name="_245____123Graph_ACHART_2" hidden="1">#REF!</definedName>
    <definedName name="_25__123Graph_ACHART_5" hidden="1">#REF!</definedName>
    <definedName name="_252____123Graph_BCHART_1" localSheetId="0" hidden="1">#REF!</definedName>
    <definedName name="_252____123Graph_BCHART_1" hidden="1">#REF!</definedName>
    <definedName name="_259____123Graph_BCHART_2" localSheetId="0" hidden="1">#REF!</definedName>
    <definedName name="_259____123Graph_BCHART_2" hidden="1">#REF!</definedName>
    <definedName name="_26__123Graph_ACHART_6" hidden="1">#REF!</definedName>
    <definedName name="_266____123Graph_CCHART_1" localSheetId="0" hidden="1">#REF!</definedName>
    <definedName name="_266____123Graph_CCHART_1" hidden="1">#REF!</definedName>
    <definedName name="_27__123Graph_ACHART_7" hidden="1">#REF!</definedName>
    <definedName name="_273____123Graph_CCHART_2" localSheetId="0" hidden="1">#REF!</definedName>
    <definedName name="_273____123Graph_CCHART_2" hidden="1">#REF!</definedName>
    <definedName name="_28______123Graph_CCHART_1" localSheetId="0" hidden="1">#REF!</definedName>
    <definedName name="_28______123Graph_CCHART_1" hidden="1">#REF!</definedName>
    <definedName name="_28__123Graph_ACHART_8" hidden="1">#REF!</definedName>
    <definedName name="_28__123Graph_BCHART_2" localSheetId="0" hidden="1">#REF!</definedName>
    <definedName name="_28__123Graph_BCHART_2" hidden="1">#REF!</definedName>
    <definedName name="_280____123Graph_DCHART_2" localSheetId="0" hidden="1">#REF!</definedName>
    <definedName name="_280____123Graph_DCHART_2" hidden="1">#REF!</definedName>
    <definedName name="_287____123Graph_ECHART_2" localSheetId="0" hidden="1">#REF!</definedName>
    <definedName name="_287____123Graph_ECHART_2" hidden="1">#REF!</definedName>
    <definedName name="_29__123Graph_ACHART_9" hidden="1">#REF!</definedName>
    <definedName name="_294____123Graph_FCHART_2" localSheetId="0" hidden="1">#REF!</definedName>
    <definedName name="_294____123Graph_FCHART_2" hidden="1">#REF!</definedName>
    <definedName name="_2FLOW">#REF!</definedName>
    <definedName name="_2ND_QTR">#REF!</definedName>
    <definedName name="_3__123Graph_ACHART_11" hidden="1">#REF!</definedName>
    <definedName name="_3__123Graph_ACHART_38H" hidden="1">#REF!</definedName>
    <definedName name="_3__FDSAUDITLINK__" localSheetId="0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0__123Graph_BCHART_1" hidden="1">#REF!</definedName>
    <definedName name="_301____123Graph_LBL_ACHART_1" localSheetId="0" hidden="1">#REF!</definedName>
    <definedName name="_301____123Graph_LBL_ACHART_1" hidden="1">#REF!</definedName>
    <definedName name="_308____123Graph_LBL_ACHART_2" localSheetId="0" hidden="1">#REF!</definedName>
    <definedName name="_308____123Graph_LBL_ACHART_2" hidden="1">#REF!</definedName>
    <definedName name="_31__123Graph_BCHART_10" hidden="1">#REF!</definedName>
    <definedName name="_315____123Graph_LBL_BCHART_1" localSheetId="0" hidden="1">#REF!</definedName>
    <definedName name="_315____123Graph_LBL_BCHART_1" hidden="1">#REF!</definedName>
    <definedName name="_32__123Graph_BCHART_11" hidden="1">#REF!</definedName>
    <definedName name="_322____123Graph_LBL_BCHART_2" localSheetId="0" hidden="1">#REF!</definedName>
    <definedName name="_322____123Graph_LBL_BCHART_2" hidden="1">#REF!</definedName>
    <definedName name="_329____123Graph_LBL_CCHART_2" localSheetId="0" hidden="1">#REF!</definedName>
    <definedName name="_329____123Graph_LBL_CCHART_2" hidden="1">#REF!</definedName>
    <definedName name="_33__123Graph_BCHART_12" hidden="1">#REF!</definedName>
    <definedName name="_336____123Graph_LBL_DCHART_2" localSheetId="0" hidden="1">#REF!</definedName>
    <definedName name="_336____123Graph_LBL_DCHART_2" hidden="1">#REF!</definedName>
    <definedName name="_34__123Graph_BCHART_13" hidden="1">#REF!</definedName>
    <definedName name="_343____123Graph_LBL_ECHART_2" localSheetId="0" hidden="1">#REF!</definedName>
    <definedName name="_343____123Graph_LBL_ECHART_2" hidden="1">#REF!</definedName>
    <definedName name="_35______123Graph_CCHART_2" localSheetId="0" hidden="1">#REF!</definedName>
    <definedName name="_35______123Graph_CCHART_2" hidden="1">#REF!</definedName>
    <definedName name="_35__123Graph_BCHART_14" hidden="1">#REF!</definedName>
    <definedName name="_35__123Graph_CCHART_1" localSheetId="0" hidden="1">#REF!</definedName>
    <definedName name="_35__123Graph_CCHART_1" hidden="1">#REF!</definedName>
    <definedName name="_350____123Graph_LBL_FCHART_2" localSheetId="0" hidden="1">#REF!</definedName>
    <definedName name="_350____123Graph_LBL_FCHART_2" hidden="1">#REF!</definedName>
    <definedName name="_357___123Graph_ACHART_1" localSheetId="0" hidden="1">#REF!</definedName>
    <definedName name="_357___123Graph_ACHART_1" hidden="1">#REF!</definedName>
    <definedName name="_36__123Graph_BCHART_15" hidden="1">#REF!</definedName>
    <definedName name="_364___123Graph_ACHART_2" localSheetId="0" hidden="1">#REF!</definedName>
    <definedName name="_364___123Graph_ACHART_2" hidden="1">#REF!</definedName>
    <definedName name="_37__123Graph_BCHART_16" hidden="1">#REF!</definedName>
    <definedName name="_371___123Graph_BCHART_1" localSheetId="0" hidden="1">#REF!</definedName>
    <definedName name="_371___123Graph_BCHART_1" hidden="1">#REF!</definedName>
    <definedName name="_378___123Graph_BCHART_2" localSheetId="0" hidden="1">#REF!</definedName>
    <definedName name="_378___123Graph_BCHART_2" hidden="1">#REF!</definedName>
    <definedName name="_38__123Graph_BCHART_17" hidden="1">#REF!</definedName>
    <definedName name="_385___123Graph_CCHART_1" localSheetId="0" hidden="1">#REF!</definedName>
    <definedName name="_385___123Graph_CCHART_1" hidden="1">#REF!</definedName>
    <definedName name="_39__123Graph_BCHART_18" hidden="1">#REF!</definedName>
    <definedName name="_392___123Graph_CCHART_2" localSheetId="0" hidden="1">#REF!</definedName>
    <definedName name="_392___123Graph_CCHART_2" hidden="1">#REF!</definedName>
    <definedName name="_399___123Graph_DCHART_2" localSheetId="0" hidden="1">#REF!</definedName>
    <definedName name="_399___123Graph_DCHART_2" hidden="1">#REF!</definedName>
    <definedName name="_3FLOW">#REF!</definedName>
    <definedName name="_3RD_QTR">#REF!</definedName>
    <definedName name="_4__123Graph_ACHART_12" hidden="1">#REF!</definedName>
    <definedName name="_4__123Graph_ACHART_39H" hidden="1">#REF!</definedName>
    <definedName name="_4__FDSAUDITLINK__" localSheetId="0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0__123Graph_BChart_1Q" localSheetId="0" hidden="1">#REF!</definedName>
    <definedName name="_40__123Graph_BChart_1Q" hidden="1">#REF!</definedName>
    <definedName name="_400_ship">#REF!</definedName>
    <definedName name="_406___123Graph_ECHART_2" localSheetId="0" hidden="1">#REF!</definedName>
    <definedName name="_406___123Graph_ECHART_2" hidden="1">#REF!</definedName>
    <definedName name="_41__123Graph_BCHART_2" hidden="1">#REF!</definedName>
    <definedName name="_413___123Graph_FCHART_2" localSheetId="0" hidden="1">#REF!</definedName>
    <definedName name="_413___123Graph_FCHART_2" hidden="1">#REF!</definedName>
    <definedName name="_42______123Graph_DCHART_2" localSheetId="0" hidden="1">#REF!</definedName>
    <definedName name="_42______123Graph_DCHART_2" hidden="1">#REF!</definedName>
    <definedName name="_42__123Graph_BCHART_22" hidden="1">#REF!</definedName>
    <definedName name="_42__123Graph_CCHART_2" localSheetId="0" hidden="1">#REF!</definedName>
    <definedName name="_42__123Graph_CCHART_2" hidden="1">#REF!</definedName>
    <definedName name="_420___123Graph_LBL_ACHART_1" localSheetId="0" hidden="1">#REF!</definedName>
    <definedName name="_420___123Graph_LBL_ACHART_1" hidden="1">#REF!</definedName>
    <definedName name="_427___123Graph_LBL_ACHART_2" localSheetId="0" hidden="1">#REF!</definedName>
    <definedName name="_427___123Graph_LBL_ACHART_2" hidden="1">#REF!</definedName>
    <definedName name="_43__123Graph_BCHART_23" hidden="1">#REF!</definedName>
    <definedName name="_434___123Graph_LBL_BCHART_1" localSheetId="0" hidden="1">#REF!</definedName>
    <definedName name="_434___123Graph_LBL_BCHART_1" hidden="1">#REF!</definedName>
    <definedName name="_44__123Graph_BCHART_24" hidden="1">#REF!</definedName>
    <definedName name="_441___123Graph_LBL_BCHART_2" localSheetId="0" hidden="1">#REF!</definedName>
    <definedName name="_441___123Graph_LBL_BCHART_2" hidden="1">#REF!</definedName>
    <definedName name="_448___123Graph_LBL_CCHART_2" localSheetId="0" hidden="1">#REF!</definedName>
    <definedName name="_448___123Graph_LBL_CCHART_2" hidden="1">#REF!</definedName>
    <definedName name="_45__123Graph_BCHART_25" hidden="1">#REF!</definedName>
    <definedName name="_455___123Graph_LBL_DCHART_2" localSheetId="0" hidden="1">#REF!</definedName>
    <definedName name="_455___123Graph_LBL_DCHART_2" hidden="1">#REF!</definedName>
    <definedName name="_46__123Graph_BCHART_26" hidden="1">#REF!</definedName>
    <definedName name="_462___123Graph_LBL_ECHART_2" localSheetId="0" hidden="1">#REF!</definedName>
    <definedName name="_462___123Graph_LBL_ECHART_2" hidden="1">#REF!</definedName>
    <definedName name="_469___123Graph_LBL_FCHART_2" localSheetId="0" hidden="1">#REF!</definedName>
    <definedName name="_469___123Graph_LBL_FCHART_2" hidden="1">#REF!</definedName>
    <definedName name="_47__123Graph_BCHART_27" hidden="1">#REF!</definedName>
    <definedName name="_476__123Graph_ACHART_1" localSheetId="0" hidden="1">#REF!</definedName>
    <definedName name="_476__123Graph_ACHART_1" hidden="1">#REF!</definedName>
    <definedName name="_48__123Graph_BCHART_28" hidden="1">#REF!</definedName>
    <definedName name="_483__123Graph_ACHART_2" localSheetId="0" hidden="1">#REF!</definedName>
    <definedName name="_483__123Graph_ACHART_2" hidden="1">#REF!</definedName>
    <definedName name="_49______123Graph_ECHART_2" localSheetId="0" hidden="1">#REF!</definedName>
    <definedName name="_49______123Graph_ECHART_2" hidden="1">#REF!</definedName>
    <definedName name="_49__123Graph_BCHART_29" hidden="1">#REF!</definedName>
    <definedName name="_49__123Graph_DCHART_2" localSheetId="0" hidden="1">#REF!</definedName>
    <definedName name="_49__123Graph_DCHART_2" hidden="1">#REF!</definedName>
    <definedName name="_490__123Graph_BCHART_1" localSheetId="0" hidden="1">#REF!</definedName>
    <definedName name="_490__123Graph_BCHART_1" hidden="1">#REF!</definedName>
    <definedName name="_497__123Graph_BCHART_2" localSheetId="0" hidden="1">#REF!</definedName>
    <definedName name="_497__123Graph_BCHART_2" hidden="1">#REF!</definedName>
    <definedName name="_4TH_QTR">#REF!</definedName>
    <definedName name="_5__123Graph_ACHART_13" hidden="1">#REF!</definedName>
    <definedName name="_5__123Graph_ACHART_41I" hidden="1">#REF!</definedName>
    <definedName name="_5__FDSAUDITLINK__" localSheetId="0" hidden="1">{"fdsup://IBCentral/FAT Viewer?action=UPDATE&amp;creator=factset&amp;DOC_NAME=fat:reuters_qtrly_source_window.fat&amp;display_string=Audit&amp;DYN_ARGS=TRUE&amp;VAR:ID1=233667&amp;VAR:RCODE=FDSPFDSTKTOTAL&amp;VAR:SDATE=20080699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233667&amp;VAR:RCODE=FDSPFDSTKTOTAL&amp;VAR:SDATE=20080699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0__123Graph_BCHART_3" hidden="1">#REF!</definedName>
    <definedName name="_504__123Graph_CCHART_1" localSheetId="0" hidden="1">#REF!</definedName>
    <definedName name="_504__123Graph_CCHART_1" hidden="1">#REF!</definedName>
    <definedName name="_51__123Graph_BCHART_30" hidden="1">#REF!</definedName>
    <definedName name="_511__123Graph_CCHART_2" localSheetId="0" hidden="1">#REF!</definedName>
    <definedName name="_511__123Graph_CCHART_2" hidden="1">#REF!</definedName>
    <definedName name="_518__123Graph_DCHART_2" localSheetId="0" hidden="1">#REF!</definedName>
    <definedName name="_518__123Graph_DCHART_2" hidden="1">#REF!</definedName>
    <definedName name="_52__123Graph_BCHART_4" hidden="1">#REF!</definedName>
    <definedName name="_525__123Graph_ECHART_2" localSheetId="0" hidden="1">#REF!</definedName>
    <definedName name="_525__123Graph_ECHART_2" hidden="1">#REF!</definedName>
    <definedName name="_53__123Graph_BCHART_5" hidden="1">#REF!</definedName>
    <definedName name="_532__123Graph_FCHART_2" localSheetId="0" hidden="1">#REF!</definedName>
    <definedName name="_532__123Graph_FCHART_2" hidden="1">#REF!</definedName>
    <definedName name="_539__123Graph_LBL_ACHART_1" localSheetId="0" hidden="1">#REF!</definedName>
    <definedName name="_539__123Graph_LBL_ACHART_1" hidden="1">#REF!</definedName>
    <definedName name="_54__123Graph_BCHART_6" hidden="1">#REF!</definedName>
    <definedName name="_546__123Graph_LBL_ACHART_2" localSheetId="0" hidden="1">#REF!</definedName>
    <definedName name="_546__123Graph_LBL_ACHART_2" hidden="1">#REF!</definedName>
    <definedName name="_55__123Graph_BCHART_7" hidden="1">#REF!</definedName>
    <definedName name="_553__123Graph_LBL_BCHART_1" localSheetId="0" hidden="1">#REF!</definedName>
    <definedName name="_553__123Graph_LBL_BCHART_1" hidden="1">#REF!</definedName>
    <definedName name="_56______123Graph_FCHART_2" localSheetId="0" hidden="1">#REF!</definedName>
    <definedName name="_56______123Graph_FCHART_2" hidden="1">#REF!</definedName>
    <definedName name="_56__123Graph_BCHART_8" hidden="1">#REF!</definedName>
    <definedName name="_56__123Graph_ECHART_2" localSheetId="0" hidden="1">#REF!</definedName>
    <definedName name="_56__123Graph_ECHART_2" hidden="1">#REF!</definedName>
    <definedName name="_560__123Graph_LBL_BCHART_2" localSheetId="0" hidden="1">#REF!</definedName>
    <definedName name="_560__123Graph_LBL_BCHART_2" hidden="1">#REF!</definedName>
    <definedName name="_567__123Graph_LBL_CCHART_2" localSheetId="0" hidden="1">#REF!</definedName>
    <definedName name="_567__123Graph_LBL_CCHART_2" hidden="1">#REF!</definedName>
    <definedName name="_57__123Graph_BCHART_9" hidden="1">#REF!</definedName>
    <definedName name="_574__123Graph_LBL_DCHART_2" localSheetId="0" hidden="1">#REF!</definedName>
    <definedName name="_574__123Graph_LBL_DCHART_2" hidden="1">#REF!</definedName>
    <definedName name="_58__123Graph_CCHART_25" hidden="1">#REF!</definedName>
    <definedName name="_581__123Graph_LBL_ECHART_2" localSheetId="0" hidden="1">#REF!</definedName>
    <definedName name="_581__123Graph_LBL_ECHART_2" hidden="1">#REF!</definedName>
    <definedName name="_588__123Graph_LBL_FCHART_2" localSheetId="0" hidden="1">#REF!</definedName>
    <definedName name="_588__123Graph_LBL_FCHART_2" hidden="1">#REF!</definedName>
    <definedName name="_59__123Graph_CCHART_26" hidden="1">#REF!</definedName>
    <definedName name="_5FLOW">#REF!</definedName>
    <definedName name="_6__123Graph_ACHART_14" hidden="1">#REF!</definedName>
    <definedName name="_6__123Graph_ACHART_42I" hidden="1">#REF!</definedName>
    <definedName name="_6__FDSAUDITLINK__" localSheetId="0" hidden="1">{"fdsup://IBCentral/FAT Viewer?action=UPDATE&amp;creator=factset&amp;DOC_NAME=fat:reuters_qtrly_source_window.fat&amp;display_string=Audit&amp;DYN_ARGS=TRUE&amp;VAR:ID1=233667&amp;VAR:RCODE=LMIN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233667&amp;VAR:RCODE=LMIN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0__123Graph_CCHART_27" hidden="1">#REF!</definedName>
    <definedName name="_61__123Graph_CCHART_28" hidden="1">#REF!</definedName>
    <definedName name="_62__123Graph_CCHART_29" hidden="1">#REF!</definedName>
    <definedName name="_63______123Graph_LBL_ACHART_1" localSheetId="0" hidden="1">#REF!</definedName>
    <definedName name="_63______123Graph_LBL_ACHART_1" hidden="1">#REF!</definedName>
    <definedName name="_63__123Graph_CCHART_30" hidden="1">#REF!</definedName>
    <definedName name="_63__123Graph_FCHART_2" localSheetId="0" hidden="1">#REF!</definedName>
    <definedName name="_63__123Graph_FCHART_2" hidden="1">#REF!</definedName>
    <definedName name="_64__123Graph_DCHART_25" hidden="1">#REF!</definedName>
    <definedName name="_65__123Graph_DCHART_26" hidden="1">#REF!</definedName>
    <definedName name="_66__123Graph_DCHART_27" hidden="1">#REF!</definedName>
    <definedName name="_67__123Graph_DCHART_28" hidden="1">#REF!</definedName>
    <definedName name="_68__123Graph_DCHART_29" hidden="1">#REF!</definedName>
    <definedName name="_69__123Graph_DCHART_30" hidden="1">#REF!</definedName>
    <definedName name="_7______123Graph_ACHART_1" localSheetId="0" hidden="1">#REF!</definedName>
    <definedName name="_7______123Graph_ACHART_1" hidden="1">#REF!</definedName>
    <definedName name="_7__123Graph_ACHART_1" localSheetId="0" hidden="1">#REF!</definedName>
    <definedName name="_7__123Graph_ACHART_1" hidden="1">#REF!</definedName>
    <definedName name="_7__123Graph_ACHART_15" hidden="1">#REF!</definedName>
    <definedName name="_7__123Graph_ACHART_44J" hidden="1">#REF!</definedName>
    <definedName name="_7__FDSAUDITLINK__" localSheetId="0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0______123Graph_LBL_ACHART_2" localSheetId="0" hidden="1">#REF!</definedName>
    <definedName name="_70______123Graph_LBL_ACHART_2" hidden="1">#REF!</definedName>
    <definedName name="_70__123Graph_LBL_ACHART_1" localSheetId="0" hidden="1">#REF!</definedName>
    <definedName name="_70__123Graph_LBL_ACHART_1" hidden="1">#REF!</definedName>
    <definedName name="_70__123Graph_XCHART_10" hidden="1">#REF!</definedName>
    <definedName name="_71__123Graph_XCHART_11" hidden="1">#REF!</definedName>
    <definedName name="_72__123Graph_XCHART_12" hidden="1">#REF!</definedName>
    <definedName name="_73__123Graph_XCHART_13" hidden="1">#REF!</definedName>
    <definedName name="_74__123Graph_XCHART_14" hidden="1">#REF!</definedName>
    <definedName name="_75__123Graph_XCHART_15" hidden="1">#REF!</definedName>
    <definedName name="_76__123Graph_XCHART_16" hidden="1">#REF!</definedName>
    <definedName name="_77______123Graph_LBL_BCHART_1" localSheetId="0" hidden="1">#REF!</definedName>
    <definedName name="_77______123Graph_LBL_BCHART_1" hidden="1">#REF!</definedName>
    <definedName name="_77__123Graph_LBL_ACHART_2" localSheetId="0" hidden="1">#REF!</definedName>
    <definedName name="_77__123Graph_LBL_ACHART_2" hidden="1">#REF!</definedName>
    <definedName name="_77__123Graph_XCHART_2" hidden="1">#REF!</definedName>
    <definedName name="_78__123Graph_XCHART_3" hidden="1">#REF!</definedName>
    <definedName name="_79__123Graph_XCHART_4" hidden="1">#REF!</definedName>
    <definedName name="_8__123Graph_ACHART_16" hidden="1">#REF!</definedName>
    <definedName name="_8__123Graph_ACHART_46K" hidden="1">#REF!</definedName>
    <definedName name="_8__FDSAUDITLINK__" localSheetId="0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0__123Graph_XCHART_5" hidden="1">#REF!</definedName>
    <definedName name="_81__123Graph_XCHART_6" hidden="1">#REF!</definedName>
    <definedName name="_82__123Graph_XCHART_7" hidden="1">#REF!</definedName>
    <definedName name="_83__123Graph_XCHART_8" hidden="1">#REF!</definedName>
    <definedName name="_84______123Graph_LBL_BCHART_2" localSheetId="0" hidden="1">#REF!</definedName>
    <definedName name="_84______123Graph_LBL_BCHART_2" hidden="1">#REF!</definedName>
    <definedName name="_84__123Graph_LBL_BCHART_1" localSheetId="0" hidden="1">#REF!</definedName>
    <definedName name="_84__123Graph_LBL_BCHART_1" hidden="1">#REF!</definedName>
    <definedName name="_84__123Graph_XCHART_9" hidden="1">#REF!</definedName>
    <definedName name="_9__123Graph_ACHART_17" hidden="1">#REF!</definedName>
    <definedName name="_9__123Graph_ACHART_50N" hidden="1">#REF!</definedName>
    <definedName name="_9__FDSAUDITLINK__" localSheetId="0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____123Graph_LBL_CCHART_2" localSheetId="0" hidden="1">#REF!</definedName>
    <definedName name="_91______123Graph_LBL_CCHART_2" hidden="1">#REF!</definedName>
    <definedName name="_91__123Graph_LBL_BCHART_2" localSheetId="0" hidden="1">#REF!</definedName>
    <definedName name="_91__123Graph_LBL_BCHART_2" hidden="1">#REF!</definedName>
    <definedName name="_98______123Graph_LBL_DCHART_2" localSheetId="0" hidden="1">#REF!</definedName>
    <definedName name="_98______123Graph_LBL_DCHART_2" hidden="1">#REF!</definedName>
    <definedName name="_98__123Graph_LBL_CCHART_2" localSheetId="0" hidden="1">#REF!</definedName>
    <definedName name="_98__123Graph_LBL_CCHART_2" hidden="1">#REF!</definedName>
    <definedName name="_aaa186">#REF!</definedName>
    <definedName name="_Am1" localSheetId="0" hidden="1">#REF!</definedName>
    <definedName name="_Am1" hidden="1">#REF!</definedName>
    <definedName name="_Apr09">#REF!</definedName>
    <definedName name="_as1" localSheetId="0" hidden="1">{"FCB_ALL",#N/A,FALSE,"FCB"}</definedName>
    <definedName name="_as1" hidden="1">{"FCB_ALL",#N/A,FALSE,"FCB"}</definedName>
    <definedName name="_AS2" localSheetId="0" hidden="1">{"FCB_ALL",#N/A,FALSE,"FCB"}</definedName>
    <definedName name="_AS2" hidden="1">{"FCB_ALL",#N/A,FALSE,"FCB"}</definedName>
    <definedName name="_as3" localSheetId="0" hidden="1">{"FCB_ALL",#N/A,FALSE,"FCB"}</definedName>
    <definedName name="_as3" hidden="1">{"FCB_ALL",#N/A,FALSE,"FCB"}</definedName>
    <definedName name="_AS4" localSheetId="0" hidden="1">{"FCB_ALL",#N/A,FALSE,"FCB"}</definedName>
    <definedName name="_AS4" hidden="1">{"FCB_ALL",#N/A,FALSE,"FCB"}</definedName>
    <definedName name="_as45" localSheetId="0" hidden="1">{#N/A,#N/A,FALSE,"dec98qtr";#N/A,#N/A,FALSE,"suppdecsep98";#N/A,#N/A,FALSE,"w-dec98"}</definedName>
    <definedName name="_as45" hidden="1">{#N/A,#N/A,FALSE,"dec98qtr";#N/A,#N/A,FALSE,"suppdecsep98";#N/A,#N/A,FALSE,"w-dec98"}</definedName>
    <definedName name="_as6" localSheetId="0" hidden="1">{"FCB_ALL",#N/A,FALSE,"FCB"}</definedName>
    <definedName name="_as6" hidden="1">{"FCB_ALL",#N/A,FALSE,"FCB"}</definedName>
    <definedName name="_AS7" localSheetId="0" hidden="1">{"FCB_ALL",#N/A,FALSE,"FCB"}</definedName>
    <definedName name="_AS7" hidden="1">{"FCB_ALL",#N/A,FALSE,"FCB"}</definedName>
    <definedName name="_ATX1" localSheetId="0" hidden="1">{"'FF'!$B$57:$B$58"}</definedName>
    <definedName name="_ATX1" hidden="1">{"'FF'!$B$57:$B$58"}</definedName>
    <definedName name="_azg9">#REF!</definedName>
    <definedName name="_b1">#REF!</definedName>
    <definedName name="_brt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brt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CF2" localSheetId="0" hidden="1">{"'CALL MONEY'!$K$53"}</definedName>
    <definedName name="_CF2" hidden="1">{"'CALL MONEY'!$K$53"}</definedName>
    <definedName name="_cf23" localSheetId="0" hidden="1">{"'CALL MONEY'!$K$53"}</definedName>
    <definedName name="_cf23" hidden="1">{"'CALL MONEY'!$K$53"}</definedName>
    <definedName name="_cf66" localSheetId="0" hidden="1">{#N/A,#N/A,FALSE,"dec98qtr";#N/A,#N/A,FALSE,"suppdecsep98";#N/A,#N/A,FALSE,"w-dec98"}</definedName>
    <definedName name="_cf66" hidden="1">{#N/A,#N/A,FALSE,"dec98qtr";#N/A,#N/A,FALSE,"suppdecsep98";#N/A,#N/A,FALSE,"w-dec98"}</definedName>
    <definedName name="_D72000">#REF!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dd1234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ddd123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NG0003">#REF!</definedName>
    <definedName name="_ere45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re4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VA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VA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wf78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wf78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xample" hidden="1">#REF!</definedName>
    <definedName name="_Feb09">#REF!</definedName>
    <definedName name="_ff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ff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l2" localSheetId="0" hidden="1">#REF!</definedName>
    <definedName name="_Fill2" hidden="1">#REF!</definedName>
    <definedName name="_xlnm._FilterDatabase" localSheetId="0" hidden="1">'CPM DATA'!$A$12:$V$46</definedName>
    <definedName name="_xlnm._FilterDatabase" hidden="1">#REF!</definedName>
    <definedName name="_hg45" localSheetId="0" hidden="1">{"MSS",#N/A,FALSE,"MSS";"ProdSA",#N/A,FALSE,"ProdSA";"Sales 1",#N/A,FALSE,"SALES";"Transfer 1",#N/A,FALSE,"TRANSFERS"}</definedName>
    <definedName name="_hg45" hidden="1">{"MSS",#N/A,FALSE,"MSS";"ProdSA",#N/A,FALSE,"ProdSA";"Sales 1",#N/A,FALSE,"SALES";"Transfer 1",#N/A,FALSE,"TRANSFERS"}</definedName>
    <definedName name="_hg76" localSheetId="0" hidden="1">{"MSS",#N/A,FALSE,"MSS";"ProdSA",#N/A,FALSE,"ProdSA";"Sales 1",#N/A,FALSE,"SALES";"Transfer 1",#N/A,FALSE,"TRANSFERS"}</definedName>
    <definedName name="_hg76" hidden="1">{"MSS",#N/A,FALSE,"MSS";"ProdSA",#N/A,FALSE,"ProdSA";"Sales 1",#N/A,FALSE,"SALES";"Transfer 1",#N/A,FALSE,"TRANSFERS"}</definedName>
    <definedName name="_ii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i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Jan09">#REF!</definedName>
    <definedName name="_jk44" localSheetId="0" hidden="1">{"Sales 2",#N/A,FALSE,"SALES";"Transfer 2",#N/A,FALSE,"TRANSFERS";"A1460",#N/A,FALSE,"A1460"}</definedName>
    <definedName name="_jk44" hidden="1">{"Sales 2",#N/A,FALSE,"SALES";"Transfer 2",#N/A,FALSE,"TRANSFERS";"A1460",#N/A,FALSE,"A1460"}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k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kk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kl87" localSheetId="0" hidden="1">{#N/A,#N/A,FALSE,"dec98qtr";#N/A,#N/A,FALSE,"suppdecsep98";#N/A,#N/A,FALSE,"w-dec98"}</definedName>
    <definedName name="_kl87" hidden="1">{#N/A,#N/A,FALSE,"dec98qtr";#N/A,#N/A,FALSE,"suppdecsep98";#N/A,#N/A,FALSE,"w-dec98"}</definedName>
    <definedName name="_lk38" localSheetId="0" hidden="1">{"MSS",#N/A,FALSE,"MSS";"ProdSA",#N/A,FALSE,"ProdSA";"Sales 1",#N/A,FALSE,"SALES";"Transfer 1",#N/A,FALSE,"TRANSFERS"}</definedName>
    <definedName name="_lk38" hidden="1">{"MSS",#N/A,FALSE,"MSS";"ProdSA",#N/A,FALSE,"ProdSA";"Sales 1",#N/A,FALSE,"SALES";"Transfer 1",#N/A,FALSE,"TRANSFERS"}</definedName>
    <definedName name="_Look" hidden="1">#REF!</definedName>
    <definedName name="_Mar09">#REF!</definedName>
    <definedName name="_MatMult_A" localSheetId="0" hidden="1">#REF!</definedName>
    <definedName name="_MatMult_A" hidden="1">#REF!</definedName>
    <definedName name="_MatMult_B" localSheetId="0" hidden="1">#REF!</definedName>
    <definedName name="_MatMult_B" hidden="1">#REF!</definedName>
    <definedName name="_MDE1">#REF!</definedName>
    <definedName name="_MEI2" localSheetId="0" hidden="1">#REF!</definedName>
    <definedName name="_MEI2" hidden="1">#REF!</definedName>
    <definedName name="_ml54" localSheetId="0" hidden="1">{#N/A,#N/A,FALSE,"dec98qtr";#N/A,#N/A,FALSE,"suppdecsep98";#N/A,#N/A,FALSE,"w-dec98"}</definedName>
    <definedName name="_ml54" hidden="1">{#N/A,#N/A,FALSE,"dec98qtr";#N/A,#N/A,FALSE,"suppdecsep98";#N/A,#N/A,FALSE,"w-dec98"}</definedName>
    <definedName name="_njh99" localSheetId="0" hidden="1">{#N/A,#N/A,FALSE,"dec98qtr";#N/A,#N/A,FALSE,"suppdecsep98";#N/A,#N/A,FALSE,"w-dec98"}</definedName>
    <definedName name="_njh99" hidden="1">{#N/A,#N/A,FALSE,"dec98qtr";#N/A,#N/A,FALSE,"suppdecsep98";#N/A,#N/A,FALSE,"w-dec98"}</definedName>
    <definedName name="_nm45" localSheetId="0" hidden="1">{"Sales 2",#N/A,FALSE,"SALES";"Transfer 2",#N/A,FALSE,"TRANSFERS";"A1460",#N/A,FALSE,"A1460"}</definedName>
    <definedName name="_nm45" hidden="1">{"Sales 2",#N/A,FALSE,"SALES";"Transfer 2",#N/A,FALSE,"TRANSFERS";"A1460",#N/A,FALSE,"A1460"}</definedName>
    <definedName name="_nm56" localSheetId="0" hidden="1">{"Sales 2",#N/A,FALSE,"SALES";"Transfer 2",#N/A,FALSE,"TRANSFERS";"A1460",#N/A,FALSE,"A1460"}</definedName>
    <definedName name="_nm56" hidden="1">{"Sales 2",#N/A,FALSE,"SALES";"Transfer 2",#N/A,FALSE,"TRANSFERS";"A1460",#N/A,FALSE,"A1460"}</definedName>
    <definedName name="_Notes" localSheetId="0" hidden="1">#REF!</definedName>
    <definedName name="_Notes" hidden="1">#REF!</definedName>
    <definedName name="_NYZ2">#REF!</definedName>
    <definedName name="_Order1" localSheetId="0" hidden="1">0</definedName>
    <definedName name="_Order1" hidden="1">0</definedName>
    <definedName name="_Order2" hidden="1">255</definedName>
    <definedName name="_pl10" localSheetId="0" hidden="1">{"MSS",#N/A,FALSE,"MSS";"ProdSA",#N/A,FALSE,"ProdSA";"Sales 1",#N/A,FALSE,"SALES";"Transfer 1",#N/A,FALSE,"TRANSFERS"}</definedName>
    <definedName name="_pl10" hidden="1">{"MSS",#N/A,FALSE,"MSS";"ProdSA",#N/A,FALSE,"ProdSA";"Sales 1",#N/A,FALSE,"SALES";"Transfer 1",#N/A,FALSE,"TRANSFERS"}</definedName>
    <definedName name="_pl11" localSheetId="0" hidden="1">{#N/A,#N/A,FALSE,"dec98qtr";#N/A,#N/A,FALSE,"suppdecsep98";#N/A,#N/A,FALSE,"w-dec98"}</definedName>
    <definedName name="_pl11" hidden="1">{#N/A,#N/A,FALSE,"dec98qtr";#N/A,#N/A,FALSE,"suppdecsep98";#N/A,#N/A,FALSE,"w-dec98"}</definedName>
    <definedName name="_pl12" localSheetId="0" hidden="1">{#N/A,#N/A,FALSE,"dec98qtr";#N/A,#N/A,FALSE,"suppdecsep98";#N/A,#N/A,FALSE,"w-dec98"}</definedName>
    <definedName name="_pl12" hidden="1">{#N/A,#N/A,FALSE,"dec98qtr";#N/A,#N/A,FALSE,"suppdecsep98";#N/A,#N/A,FALSE,"w-dec98"}</definedName>
    <definedName name="_pl13" localSheetId="0" hidden="1">{#N/A,#N/A,FALSE,"dec98qtr";#N/A,#N/A,FALSE,"suppdecsep98";#N/A,#N/A,FALSE,"w-dec98"}</definedName>
    <definedName name="_pl13" hidden="1">{#N/A,#N/A,FALSE,"dec98qtr";#N/A,#N/A,FALSE,"suppdecsep98";#N/A,#N/A,FALSE,"w-dec98"}</definedName>
    <definedName name="_pl14" localSheetId="0" hidden="1">{#N/A,#N/A,FALSE,"dec98qtr";#N/A,#N/A,FALSE,"suppdecsep98";#N/A,#N/A,FALSE,"w-dec98"}</definedName>
    <definedName name="_pl14" hidden="1">{#N/A,#N/A,FALSE,"dec98qtr";#N/A,#N/A,FALSE,"suppdecsep98";#N/A,#N/A,FALSE,"w-dec98"}</definedName>
    <definedName name="_pl15" localSheetId="0" hidden="1">{#N/A,#N/A,FALSE,"dec98qtr";#N/A,#N/A,FALSE,"suppdecsep98";#N/A,#N/A,FALSE,"w-dec98"}</definedName>
    <definedName name="_pl15" hidden="1">{#N/A,#N/A,FALSE,"dec98qtr";#N/A,#N/A,FALSE,"suppdecsep98";#N/A,#N/A,FALSE,"w-dec98"}</definedName>
    <definedName name="_pl16" localSheetId="0" hidden="1">{"MSS",#N/A,FALSE,"MSS";"ProdSA",#N/A,FALSE,"ProdSA";"Sales 1",#N/A,FALSE,"SALES";"Transfer 1",#N/A,FALSE,"TRANSFERS"}</definedName>
    <definedName name="_pl16" hidden="1">{"MSS",#N/A,FALSE,"MSS";"ProdSA",#N/A,FALSE,"ProdSA";"Sales 1",#N/A,FALSE,"SALES";"Transfer 1",#N/A,FALSE,"TRANSFERS"}</definedName>
    <definedName name="_pl17" localSheetId="0" hidden="1">{"Sales 2",#N/A,FALSE,"SALES";"Transfer 2",#N/A,FALSE,"TRANSFERS";"A1460",#N/A,FALSE,"A1460"}</definedName>
    <definedName name="_pl17" hidden="1">{"Sales 2",#N/A,FALSE,"SALES";"Transfer 2",#N/A,FALSE,"TRANSFERS";"A1460",#N/A,FALSE,"A1460"}</definedName>
    <definedName name="_pl18" localSheetId="0" hidden="1">{#N/A,#N/A,FALSE,"dec98qtr";#N/A,#N/A,FALSE,"suppdecsep98";#N/A,#N/A,FALSE,"w-dec98"}</definedName>
    <definedName name="_pl18" hidden="1">{#N/A,#N/A,FALSE,"dec98qtr";#N/A,#N/A,FALSE,"suppdecsep98";#N/A,#N/A,FALSE,"w-dec98"}</definedName>
    <definedName name="_pl2" localSheetId="0" hidden="1">{#N/A,#N/A,FALSE,"dec98qtr";#N/A,#N/A,FALSE,"suppdecsep98";#N/A,#N/A,FALSE,"w-dec98"}</definedName>
    <definedName name="_pl2" hidden="1">{#N/A,#N/A,FALSE,"dec98qtr";#N/A,#N/A,FALSE,"suppdecsep98";#N/A,#N/A,FALSE,"w-dec98"}</definedName>
    <definedName name="_pl3" localSheetId="0" hidden="1">{#N/A,#N/A,FALSE,"dec98qtr";#N/A,#N/A,FALSE,"suppdecsep98";#N/A,#N/A,FALSE,"w-dec98"}</definedName>
    <definedName name="_pl3" hidden="1">{#N/A,#N/A,FALSE,"dec98qtr";#N/A,#N/A,FALSE,"suppdecsep98";#N/A,#N/A,FALSE,"w-dec98"}</definedName>
    <definedName name="_pl4" localSheetId="0" hidden="1">{"Sales 2",#N/A,FALSE,"SALES";"Transfer 2",#N/A,FALSE,"TRANSFERS";"A1460",#N/A,FALSE,"A1460"}</definedName>
    <definedName name="_pl4" hidden="1">{"Sales 2",#N/A,FALSE,"SALES";"Transfer 2",#N/A,FALSE,"TRANSFERS";"A1460",#N/A,FALSE,"A1460"}</definedName>
    <definedName name="_pl5" localSheetId="0" hidden="1">{"Sales 2",#N/A,FALSE,"SALES";"Transfer 2",#N/A,FALSE,"TRANSFERS";"A1460",#N/A,FALSE,"A1460"}</definedName>
    <definedName name="_pl5" hidden="1">{"Sales 2",#N/A,FALSE,"SALES";"Transfer 2",#N/A,FALSE,"TRANSFERS";"A1460",#N/A,FALSE,"A1460"}</definedName>
    <definedName name="_pl6" localSheetId="0" hidden="1">{#N/A,#N/A,FALSE,"dec98qtr";#N/A,#N/A,FALSE,"suppdecsep98";#N/A,#N/A,FALSE,"w-dec98"}</definedName>
    <definedName name="_pl6" hidden="1">{#N/A,#N/A,FALSE,"dec98qtr";#N/A,#N/A,FALSE,"suppdecsep98";#N/A,#N/A,FALSE,"w-dec98"}</definedName>
    <definedName name="_pl7" localSheetId="0" hidden="1">{"MSS",#N/A,FALSE,"MSS";"ProdSA",#N/A,FALSE,"ProdSA";"Sales 1",#N/A,FALSE,"SALES";"Transfer 1",#N/A,FALSE,"TRANSFERS"}</definedName>
    <definedName name="_pl7" hidden="1">{"MSS",#N/A,FALSE,"MSS";"ProdSA",#N/A,FALSE,"ProdSA";"Sales 1",#N/A,FALSE,"SALES";"Transfer 1",#N/A,FALSE,"TRANSFERS"}</definedName>
    <definedName name="_pl8" localSheetId="0" hidden="1">{#N/A,#N/A,FALSE,"dec98qtr";#N/A,#N/A,FALSE,"suppdecsep98";#N/A,#N/A,FALSE,"w-dec98"}</definedName>
    <definedName name="_pl8" hidden="1">{#N/A,#N/A,FALSE,"dec98qtr";#N/A,#N/A,FALSE,"suppdecsep98";#N/A,#N/A,FALSE,"w-dec98"}</definedName>
    <definedName name="_pl9" localSheetId="0" hidden="1">{"Sales 2",#N/A,FALSE,"SALES";"Transfer 2",#N/A,FALSE,"TRANSFERS";"A1460",#N/A,FALSE,"A1460"}</definedName>
    <definedName name="_pl9" hidden="1">{"Sales 2",#N/A,FALSE,"SALES";"Transfer 2",#N/A,FALSE,"TRANSFERS";"A1460",#N/A,FALSE,"A1460"}</definedName>
    <definedName name="_ppl99" localSheetId="0" hidden="1">{#N/A,#N/A,FALSE,"dec98qtr";#N/A,#N/A,FALSE,"suppdecsep98";#N/A,#N/A,FALSE,"w-dec98"}</definedName>
    <definedName name="_ppl99" hidden="1">{#N/A,#N/A,FALSE,"dec98qtr";#N/A,#N/A,FALSE,"suppdecsep98";#N/A,#N/A,FALSE,"w-dec98"}</definedName>
    <definedName name="_QB156">#REF!</definedName>
    <definedName name="_reg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eg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egression_Out" hidden="1">#REF!</definedName>
    <definedName name="_Regression_X" localSheetId="0" hidden="1">#REF!</definedName>
    <definedName name="_Regression_X" hidden="1">#REF!</definedName>
    <definedName name="_Regression_Y" hidden="1">#REF!</definedName>
    <definedName name="_Ri3">#REF!</definedName>
    <definedName name="_rrr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rr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Z16">#REF!</definedName>
    <definedName name="_sal2" localSheetId="0" hidden="1">{"SALARIOS",#N/A,FALSE,"Hoja3";"SUELDOS EMPLEADOS",#N/A,FALSE,"Hoja4";"SUELDOS EJECUTIVOS",#N/A,FALSE,"Hoja5"}</definedName>
    <definedName name="_sal2" hidden="1">{"SALARIOS",#N/A,FALSE,"Hoja3";"SUELDOS EMPLEADOS",#N/A,FALSE,"Hoja4";"SUELDOS EJECUTIVOS",#N/A,FALSE,"Hoja5"}</definedName>
    <definedName name="_Series" hidden="1">#REF!</definedName>
    <definedName name="_Shading" hidden="1">#REF!</definedName>
    <definedName name="_Sort" localSheetId="0" hidden="1">#REF!</definedName>
    <definedName name="_Sort" hidden="1">#REF!</definedName>
    <definedName name="_Sum1">#REF!</definedName>
    <definedName name="_Sum2">#REF!</definedName>
    <definedName name="_Sum3">#REF!</definedName>
    <definedName name="_T3" hidden="1">#REF!</definedName>
    <definedName name="_T4" hidden="1">#REF!</definedName>
    <definedName name="_T5" hidden="1">#REF!</definedName>
    <definedName name="_T6" hidden="1">#REF!</definedName>
    <definedName name="_TAX1" localSheetId="0" hidden="1">{"'FF'!$B$57:$B$58"}</definedName>
    <definedName name="_TAX1" hidden="1">{"'FF'!$B$57:$B$58"}</definedName>
    <definedName name="_trb5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rb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tt789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tt78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vb45" localSheetId="0" hidden="1">{"Sales 2",#N/A,FALSE,"SALES";"Transfer 2",#N/A,FALSE,"TRANSFERS";"A1460",#N/A,FALSE,"A1460"}</definedName>
    <definedName name="_vb45" hidden="1">{"Sales 2",#N/A,FALSE,"SALES";"Transfer 2",#N/A,FALSE,"TRANSFERS";"A1460",#N/A,FALSE,"A1460"}</definedName>
    <definedName name="_wgh5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wgh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yu65" localSheetId="0" hidden="1">{#N/A,#N/A,FALSE,"dec98qtr";#N/A,#N/A,FALSE,"suppdecsep98";#N/A,#N/A,FALSE,"w-dec98"}</definedName>
    <definedName name="_yu65" hidden="1">{#N/A,#N/A,FALSE,"dec98qtr";#N/A,#N/A,FALSE,"suppdecsep98";#N/A,#N/A,FALSE,"w-dec98"}</definedName>
    <definedName name="_Zcomps1" localSheetId="0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0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compsz" localSheetId="0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z" hidden="1">{0,0,0,0,1,-4105,42.5196850393701,42.5196850393701,42.5196850393701,42.5196850393701,2,TRUE,TRUE,FALSE,FALSE,FALSE,#N/A,1,85,1,1,"","","","&amp;""Kennerly,Roman Bold""&amp;14L&amp;12EHMAN &amp;14 B&amp;12ROTHERS","","",FALSE}</definedName>
    <definedName name="_ZZ13">#REF!</definedName>
    <definedName name="A">#REF!</definedName>
    <definedName name="A1_Fabric">#REF!</definedName>
    <definedName name="A1_Jean">#REF!</definedName>
    <definedName name="A1B2C1">#REF!</definedName>
    <definedName name="A3_A6_A9">#REF!</definedName>
    <definedName name="A3Y30">#REF!</definedName>
    <definedName name="a59o4">#REF!</definedName>
    <definedName name="aa">#REF!</definedName>
    <definedName name="aa56o42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aa" localSheetId="0" hidden="1">#REF!</definedName>
    <definedName name="aaaaaaa" hidden="1">#REF!</definedName>
    <definedName name="aaaaaaaaaaa" localSheetId="0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" hidden="1">6</definedName>
    <definedName name="aaaaaaaaaaaaaaa" hidden="1">14</definedName>
    <definedName name="aaaaaaaaaaaaaaaaaaaa">#REF!</definedName>
    <definedName name="AAAB">#REF!</definedName>
    <definedName name="AAAC">#REF!</definedName>
    <definedName name="AAAD">#REF!</definedName>
    <definedName name="AAAE">#REF!</definedName>
    <definedName name="AAAF">#REF!</definedName>
    <definedName name="AAAG">#REF!</definedName>
    <definedName name="AAAH">#REF!</definedName>
    <definedName name="AAAI">#REF!</definedName>
    <definedName name="AAAJ">#REF!</definedName>
    <definedName name="AAAK">#REF!</definedName>
    <definedName name="AAAL">#REF!</definedName>
    <definedName name="AAAM">#REF!</definedName>
    <definedName name="AAAN">#REF!</definedName>
    <definedName name="AAAO">#REF!</definedName>
    <definedName name="AAAP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fgfd" localSheetId="0" hidden="1">{#N/A,#N/A,FALSE,"Tuition FEE"}</definedName>
    <definedName name="aasfgfd" hidden="1">{#N/A,#N/A,FALSE,"Tuition FEE"}</definedName>
    <definedName name="AAW">#REF!</definedName>
    <definedName name="AB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CU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CU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C">#REF!</definedName>
    <definedName name="abcd\">#REF!</definedName>
    <definedName name="ABOCA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OCA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cc_Issue_Dec">#REF!</definedName>
    <definedName name="ACC_JUNE_APR_ART">#REF!</definedName>
    <definedName name="ACC_JUNE_APR_CW">#REF!</definedName>
    <definedName name="AccessDatabase" hidden="1">"\\RBL_FACTORY\Gen_Account\Razi\AR1 with RG1.mdb"</definedName>
    <definedName name="Accessory">#REF!</definedName>
    <definedName name="AccessoryBasis">#REF!</definedName>
    <definedName name="AccessoryForValuation">#REF!</definedName>
    <definedName name="Accounts_Date" hidden="1">#REF!</definedName>
    <definedName name="accre" localSheetId="0" hidden="1">{#N/A,#N/A,FALSE,"incomeA";#N/A,#N/A,FALSE,"scenariosA";#N/A,#N/A,FALSE,"marginsA";#N/A,#N/A,FALSE,"balanceA";#N/A,#N/A,FALSE,"cashflowA";#N/A,#N/A,FALSE,"ratiosa";#N/A,#N/A,FALSE,"depreciationA"}</definedName>
    <definedName name="accre" hidden="1">{#N/A,#N/A,FALSE,"incomeA";#N/A,#N/A,FALSE,"scenariosA";#N/A,#N/A,FALSE,"marginsA";#N/A,#N/A,FALSE,"balanceA";#N/A,#N/A,FALSE,"cashflowA";#N/A,#N/A,FALSE,"ratiosa";#N/A,#N/A,FALSE,"depreciationA"}</definedName>
    <definedName name="Acopy" hidden="1">#REF!</definedName>
    <definedName name="acr" localSheetId="0" hidden="1">{#N/A,#N/A,FALSE,"incomeA";#N/A,#N/A,FALSE,"scenariosA";#N/A,#N/A,FALSE,"marginsA";#N/A,#N/A,FALSE,"balanceA";#N/A,#N/A,FALSE,"cashflowA";#N/A,#N/A,FALSE,"ratiosa";#N/A,#N/A,FALSE,"depreciationA"}</definedName>
    <definedName name="acr" hidden="1">{#N/A,#N/A,FALSE,"incomeA";#N/A,#N/A,FALSE,"scenariosA";#N/A,#N/A,FALSE,"marginsA";#N/A,#N/A,FALSE,"balanceA";#N/A,#N/A,FALSE,"cashflowA";#N/A,#N/A,FALSE,"ratiosa";#N/A,#N/A,FALSE,"depreciationA"}</definedName>
    <definedName name="Acrobat">#REF!</definedName>
    <definedName name="Acrobat1">#REF!</definedName>
    <definedName name="Acrobat10">#REF!</definedName>
    <definedName name="Acrobat11">#REF!</definedName>
    <definedName name="Acrobat12">#REF!</definedName>
    <definedName name="Acrobat13">#REF!</definedName>
    <definedName name="Acrobat14">#REF!</definedName>
    <definedName name="Acrobat2">#REF!</definedName>
    <definedName name="Acrobat3">#REF!</definedName>
    <definedName name="Acrobat4">#REF!</definedName>
    <definedName name="Acrobat5">#REF!</definedName>
    <definedName name="Acrobat6">#REF!</definedName>
    <definedName name="Acrobat7">#REF!</definedName>
    <definedName name="Acrobat8">#REF!</definedName>
    <definedName name="Acrobat9">#REF!</definedName>
    <definedName name="acrre_" localSheetId="0" hidden="1">{#N/A,#N/A,FALSE,"incomeA";#N/A,#N/A,FALSE,"scenariosA";#N/A,#N/A,FALSE,"marginsA";#N/A,#N/A,FALSE,"balanceA";#N/A,#N/A,FALSE,"cashflowA";#N/A,#N/A,FALSE,"ratiosa";#N/A,#N/A,FALSE,"depreciationA"}</definedName>
    <definedName name="acrre_" hidden="1">{#N/A,#N/A,FALSE,"incomeA";#N/A,#N/A,FALSE,"scenariosA";#N/A,#N/A,FALSE,"marginsA";#N/A,#N/A,FALSE,"balanceA";#N/A,#N/A,FALSE,"cashflowA";#N/A,#N/A,FALSE,"ratiosa";#N/A,#N/A,FALSE,"depreciationA"}</definedName>
    <definedName name="Actual">#REF!</definedName>
    <definedName name="adassdfsfsf" localSheetId="0" hidden="1">{#N/A,#N/A,FALSE,"Tuition FEE"}</definedName>
    <definedName name="adassdfsfsf" hidden="1">{#N/A,#N/A,FALSE,"Tuition FEE"}</definedName>
    <definedName name="adc">#REF!</definedName>
    <definedName name="adf" localSheetId="0" hidden="1">{#N/A,#N/A,FALSE,"incomeA";#N/A,#N/A,FALSE,"scenariosA";#N/A,#N/A,FALSE,"marginsA";#N/A,#N/A,FALSE,"balanceA";#N/A,#N/A,FALSE,"cashflowA";#N/A,#N/A,FALSE,"ratiosa";#N/A,#N/A,FALSE,"depreciationA"}</definedName>
    <definedName name="adf" hidden="1">{#N/A,#N/A,FALSE,"incomeA";#N/A,#N/A,FALSE,"scenariosA";#N/A,#N/A,FALSE,"marginsA";#N/A,#N/A,FALSE,"balanceA";#N/A,#N/A,FALSE,"cashflowA";#N/A,#N/A,FALSE,"ratiosa";#N/A,#N/A,FALSE,"depreciationA"}</definedName>
    <definedName name="adf_" localSheetId="0" hidden="1">{#N/A,#N/A,FALSE,"incomeA";#N/A,#N/A,FALSE,"scenariosA";#N/A,#N/A,FALSE,"marginsA";#N/A,#N/A,FALSE,"balanceA";#N/A,#N/A,FALSE,"cashflowA";#N/A,#N/A,FALSE,"ratiosa";#N/A,#N/A,FALSE,"depreciationA"}</definedName>
    <definedName name="adf_" hidden="1">{#N/A,#N/A,FALSE,"incomeA";#N/A,#N/A,FALSE,"scenariosA";#N/A,#N/A,FALSE,"marginsA";#N/A,#N/A,FALSE,"balanceA";#N/A,#N/A,FALSE,"cashflowA";#N/A,#N/A,FALSE,"ratiosa";#N/A,#N/A,FALSE,"depreciationA"}</definedName>
    <definedName name="adsfasdf" localSheetId="0" hidden="1">{#N/A,#N/A,FALSE,"incomeA";#N/A,#N/A,FALSE,"scenariosA";#N/A,#N/A,FALSE,"marginsA";#N/A,#N/A,FALSE,"balanceA";#N/A,#N/A,FALSE,"cashflowA";#N/A,#N/A,FALSE,"ratiosa";#N/A,#N/A,FALSE,"depreciationA"}</definedName>
    <definedName name="adsfasdf" hidden="1">{#N/A,#N/A,FALSE,"incomeA";#N/A,#N/A,FALSE,"scenariosA";#N/A,#N/A,FALSE,"marginsA";#N/A,#N/A,FALSE,"balanceA";#N/A,#N/A,FALSE,"cashflowA";#N/A,#N/A,FALSE,"ratiosa";#N/A,#N/A,FALSE,"depreciationA"}</definedName>
    <definedName name="aesreport2" localSheetId="0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esreport2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fafsdfdf" hidden="1">87</definedName>
    <definedName name="AFJAD" localSheetId="0" hidden="1">{#N/A,#N/A,FALSE,"dec98qtr";#N/A,#N/A,FALSE,"suppdecsep98";#N/A,#N/A,FALSE,"w-dec98"}</definedName>
    <definedName name="AFJAD" hidden="1">{#N/A,#N/A,FALSE,"dec98qtr";#N/A,#N/A,FALSE,"suppdecsep98";#N/A,#N/A,FALSE,"w-dec98"}</definedName>
    <definedName name="agag" localSheetId="0" hidden="1">{"adj95mult",#N/A,FALSE,"COMPCO";"adj95est",#N/A,FALSE,"COMPCO"}</definedName>
    <definedName name="agag" hidden="1">{"adj95mult",#N/A,FALSE,"COMPCO";"adj95est",#N/A,FALSE,"COMPCO"}</definedName>
    <definedName name="ahah" localSheetId="0" hidden="1">{#N/A,#N/A,FALSE,"Aging Summary";#N/A,#N/A,FALSE,"Ratio Analysis";#N/A,#N/A,FALSE,"Test 120 Day Accts";#N/A,#N/A,FALSE,"Tickmarks"}</definedName>
    <definedName name="ahah" hidden="1">{#N/A,#N/A,FALSE,"Aging Summary";#N/A,#N/A,FALSE,"Ratio Analysis";#N/A,#N/A,FALSE,"Test 120 Day Accts";#N/A,#N/A,FALSE,"Tickmarks"}</definedName>
    <definedName name="ahmed" localSheetId="0" hidden="1">{#N/A,#N/A,FALSE,"Tuition FEE"}</definedName>
    <definedName name="ahmed" hidden="1">{#N/A,#N/A,FALSE,"Tuition FEE"}</definedName>
    <definedName name="ai" localSheetId="0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ai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AJHFkjDGHF" localSheetId="0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">#REF!</definedName>
    <definedName name="AKK" localSheetId="0" hidden="1">{"'CALL MONEY'!$K$53"}</definedName>
    <definedName name="AKK" hidden="1">{"'CALL MONEY'!$K$53"}</definedName>
    <definedName name="A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lreadyShip">#REF!</definedName>
    <definedName name="AMORTIZATION">#REF!</definedName>
    <definedName name="ANNUAL">#REF!</definedName>
    <definedName name="annual_report2" localSheetId="0" hidden="1">{"ARPandL",#N/A,FALSE,"Report Annual";"ARCashflow",#N/A,FALSE,"Report Annual";"ARBalanceSheet",#N/A,FALSE,"Report Annual";"ARRatios",#N/A,FALSE,"Report Annual"}</definedName>
    <definedName name="annual_report2" hidden="1">{"ARPandL",#N/A,FALSE,"Report Annual";"ARCashflow",#N/A,FALSE,"Report Annual";"ARBalanceSheet",#N/A,FALSE,"Report Annual";"ARRatios",#N/A,FALSE,"Report Annual"}</definedName>
    <definedName name="anscount" hidden="1">1</definedName>
    <definedName name="APRIL">#REF!</definedName>
    <definedName name="APRIL1">#REF!</definedName>
    <definedName name="AR">#REF!</definedName>
    <definedName name="Article">#REF!</definedName>
    <definedName name="ArticleCustomerMonth">#REF!</definedName>
    <definedName name="ArticleGroupMonth">#REF!</definedName>
    <definedName name="ArticleMonth">#REF!</definedName>
    <definedName name="artwise">#REF!</definedName>
    <definedName name="as_1_2" hidden="1">{"Sales 2",#N/A,FALSE,"SALES";"Transfer 2",#N/A,FALSE,"TRANSFERS";"A1460",#N/A,FALSE,"A1460"}</definedName>
    <definedName name="as_1_3" hidden="1">{"Sales 2",#N/A,FALSE,"SALES";"Transfer 2",#N/A,FALSE,"TRANSFERS";"A1460",#N/A,FALSE,"A1460"}</definedName>
    <definedName name="as_1_4" hidden="1">{"Sales 2",#N/A,FALSE,"SALES";"Transfer 2",#N/A,FALSE,"TRANSFERS";"A1460",#N/A,FALSE,"A1460"}</definedName>
    <definedName name="as_1_5" hidden="1">{"Sales 2",#N/A,FALSE,"SALES";"Transfer 2",#N/A,FALSE,"TRANSFERS";"A1460",#N/A,FALSE,"A1460"}</definedName>
    <definedName name="as_2" hidden="1">{"Sales 2",#N/A,FALSE,"SALES";"Transfer 2",#N/A,FALSE,"TRANSFERS";"A1460",#N/A,FALSE,"A1460"}</definedName>
    <definedName name="as_3" hidden="1">{"Sales 2",#N/A,FALSE,"SALES";"Transfer 2",#N/A,FALSE,"TRANSFERS";"A1460",#N/A,FALSE,"A1460"}</definedName>
    <definedName name="as_4" hidden="1">{"Sales 2",#N/A,FALSE,"SALES";"Transfer 2",#N/A,FALSE,"TRANSFERS";"A1460",#N/A,FALSE,"A1460"}</definedName>
    <definedName name="as_5" hidden="1">{"Sales 2",#N/A,FALSE,"SALES";"Transfer 2",#N/A,FALSE,"TRANSFERS";"A1460",#N/A,FALSE,"A1460"}</definedName>
    <definedName name="AS2DocOpenMode" hidden="1">"AS2DocumentEdit"</definedName>
    <definedName name="AS2HasNoAutoHeaderFooter" hidden="1">" "</definedName>
    <definedName name="AS2LinkLS" localSheetId="0" hidden="1">#REF!</definedName>
    <definedName name="AS2LinkLS" hidden="1">#REF!</definedName>
    <definedName name="AS2NamedRange" hidden="1">5</definedName>
    <definedName name="AS2ReportLS" hidden="1">1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">#REF!</definedName>
    <definedName name="asdf" localSheetId="0" hidden="1">{#N/A,#N/A,FALSE,"dec98qtr";#N/A,#N/A,FALSE,"suppdecsep98";#N/A,#N/A,FALSE,"w-dec98"}</definedName>
    <definedName name="asdf" hidden="1">{#N/A,#N/A,FALSE,"dec98qtr";#N/A,#N/A,FALSE,"suppdecsep98";#N/A,#N/A,FALSE,"w-dec98"}</definedName>
    <definedName name="asdf_1_2" hidden="1">{#N/A,#N/A,FALSE,"dec98qtr";#N/A,#N/A,FALSE,"suppdecsep98";#N/A,#N/A,FALSE,"w-dec98"}</definedName>
    <definedName name="asdf_1_3" hidden="1">{#N/A,#N/A,FALSE,"dec98qtr";#N/A,#N/A,FALSE,"suppdecsep98";#N/A,#N/A,FALSE,"w-dec98"}</definedName>
    <definedName name="asdf_1_4" hidden="1">{#N/A,#N/A,FALSE,"dec98qtr";#N/A,#N/A,FALSE,"suppdecsep98";#N/A,#N/A,FALSE,"w-dec98"}</definedName>
    <definedName name="asdf_1_5" hidden="1">{#N/A,#N/A,FALSE,"dec98qtr";#N/A,#N/A,FALSE,"suppdecsep98";#N/A,#N/A,FALSE,"w-dec98"}</definedName>
    <definedName name="asdf_2" hidden="1">{#N/A,#N/A,FALSE,"dec98qtr";#N/A,#N/A,FALSE,"suppdecsep98";#N/A,#N/A,FALSE,"w-dec98"}</definedName>
    <definedName name="asdf_3" hidden="1">{#N/A,#N/A,FALSE,"dec98qtr";#N/A,#N/A,FALSE,"suppdecsep98";#N/A,#N/A,FALSE,"w-dec98"}</definedName>
    <definedName name="asdf_4" hidden="1">{#N/A,#N/A,FALSE,"dec98qtr";#N/A,#N/A,FALSE,"suppdecsep98";#N/A,#N/A,FALSE,"w-dec98"}</definedName>
    <definedName name="asdf_5" hidden="1">{#N/A,#N/A,FALSE,"dec98qtr";#N/A,#N/A,FALSE,"suppdecsep98";#N/A,#N/A,FALSE,"w-dec98"}</definedName>
    <definedName name="asdf76" localSheetId="0" hidden="1">{#N/A,#N/A,FALSE,"dec98qtr";#N/A,#N/A,FALSE,"suppdecsep98";#N/A,#N/A,FALSE,"w-dec98"}</definedName>
    <definedName name="asdf76" hidden="1">{#N/A,#N/A,FALSE,"dec98qtr";#N/A,#N/A,FALSE,"suppdecsep98";#N/A,#N/A,FALSE,"w-dec98"}</definedName>
    <definedName name="asdfgsdfafs" localSheetId="0" hidden="1">{#N/A,#N/A,FALSE,"Aging Summary";#N/A,#N/A,FALSE,"Ratio Analysis";#N/A,#N/A,FALSE,"Test 120 Day Accts";#N/A,#N/A,FALSE,"Tickmarks"}</definedName>
    <definedName name="asdfgsdfafs" hidden="1">{#N/A,#N/A,FALSE,"Aging Summary";#N/A,#N/A,FALSE,"Ratio Analysis";#N/A,#N/A,FALSE,"Test 120 Day Accts";#N/A,#N/A,FALSE,"Tickmarks"}</definedName>
    <definedName name="asdgfdas" localSheetId="0" hidden="1">#REF!</definedName>
    <definedName name="asdgfdas" hidden="1">#REF!</definedName>
    <definedName name="asdgfghsdfgas" hidden="1">87</definedName>
    <definedName name="asfgsdfghfgers" localSheetId="0" hidden="1">{#N/A,#N/A,FALSE,"Aging Summary";#N/A,#N/A,FALSE,"Ratio Analysis";#N/A,#N/A,FALSE,"Test 120 Day Accts";#N/A,#N/A,FALSE,"Tickmarks"}</definedName>
    <definedName name="asfgsdfghfgers" hidden="1">{#N/A,#N/A,FALSE,"Aging Summary";#N/A,#N/A,FALSE,"Ratio Analysis";#N/A,#N/A,FALSE,"Test 120 Day Accts";#N/A,#N/A,FALSE,"Tickmarks"}</definedName>
    <definedName name="ashiq">#REF!</definedName>
    <definedName name="asif_1_2" hidden="1">{#N/A,#N/A,FALSE,"dec98qtr";#N/A,#N/A,FALSE,"suppdecsep98";#N/A,#N/A,FALSE,"w-dec98"}</definedName>
    <definedName name="asif_1_3" hidden="1">{#N/A,#N/A,FALSE,"dec98qtr";#N/A,#N/A,FALSE,"suppdecsep98";#N/A,#N/A,FALSE,"w-dec98"}</definedName>
    <definedName name="asif_1_4" hidden="1">{#N/A,#N/A,FALSE,"dec98qtr";#N/A,#N/A,FALSE,"suppdecsep98";#N/A,#N/A,FALSE,"w-dec98"}</definedName>
    <definedName name="asif_1_5" hidden="1">{#N/A,#N/A,FALSE,"dec98qtr";#N/A,#N/A,FALSE,"suppdecsep98";#N/A,#N/A,FALSE,"w-dec98"}</definedName>
    <definedName name="asif_2" hidden="1">{#N/A,#N/A,FALSE,"dec98qtr";#N/A,#N/A,FALSE,"suppdecsep98";#N/A,#N/A,FALSE,"w-dec98"}</definedName>
    <definedName name="asif_3" hidden="1">{#N/A,#N/A,FALSE,"dec98qtr";#N/A,#N/A,FALSE,"suppdecsep98";#N/A,#N/A,FALSE,"w-dec98"}</definedName>
    <definedName name="asif_4" hidden="1">{#N/A,#N/A,FALSE,"dec98qtr";#N/A,#N/A,FALSE,"suppdecsep98";#N/A,#N/A,FALSE,"w-dec98"}</definedName>
    <definedName name="asif_5" hidden="1">{#N/A,#N/A,FALSE,"dec98qtr";#N/A,#N/A,FALSE,"suppdecsep98";#N/A,#N/A,FALSE,"w-dec98"}</definedName>
    <definedName name="asim" localSheetId="0" hidden="1">{#N/A,#N/A,FALSE,"dec98qtr";#N/A,#N/A,FALSE,"suppdecsep98";#N/A,#N/A,FALSE,"w-dec98"}</definedName>
    <definedName name="asim" hidden="1">{#N/A,#N/A,FALSE,"dec98qtr";#N/A,#N/A,FALSE,"suppdecsep98";#N/A,#N/A,FALSE,"w-dec98"}</definedName>
    <definedName name="asim_1_2" hidden="1">{#N/A,#N/A,FALSE,"dec98qtr";#N/A,#N/A,FALSE,"suppdecsep98";#N/A,#N/A,FALSE,"w-dec98"}</definedName>
    <definedName name="asim_1_3" hidden="1">{#N/A,#N/A,FALSE,"dec98qtr";#N/A,#N/A,FALSE,"suppdecsep98";#N/A,#N/A,FALSE,"w-dec98"}</definedName>
    <definedName name="asim_1_4" hidden="1">{#N/A,#N/A,FALSE,"dec98qtr";#N/A,#N/A,FALSE,"suppdecsep98";#N/A,#N/A,FALSE,"w-dec98"}</definedName>
    <definedName name="asim_1_5" hidden="1">{#N/A,#N/A,FALSE,"dec98qtr";#N/A,#N/A,FALSE,"suppdecsep98";#N/A,#N/A,FALSE,"w-dec98"}</definedName>
    <definedName name="asim_2" hidden="1">{#N/A,#N/A,FALSE,"dec98qtr";#N/A,#N/A,FALSE,"suppdecsep98";#N/A,#N/A,FALSE,"w-dec98"}</definedName>
    <definedName name="asim_3" hidden="1">{#N/A,#N/A,FALSE,"dec98qtr";#N/A,#N/A,FALSE,"suppdecsep98";#N/A,#N/A,FALSE,"w-dec98"}</definedName>
    <definedName name="asim_4" hidden="1">{#N/A,#N/A,FALSE,"dec98qtr";#N/A,#N/A,FALSE,"suppdecsep98";#N/A,#N/A,FALSE,"w-dec98"}</definedName>
    <definedName name="asim_5" hidden="1">{#N/A,#N/A,FALSE,"dec98qtr";#N/A,#N/A,FALSE,"suppdecsep98";#N/A,#N/A,FALSE,"w-dec98"}</definedName>
    <definedName name="aslam">OFFSET(#REF!,1,0)</definedName>
    <definedName name="aslam.">OFFSET(#REF!,1,0)</definedName>
    <definedName name="ASSET_PEN">#REF!</definedName>
    <definedName name="Assets">#REF!</definedName>
    <definedName name="asst" localSheetId="0" hidden="1">#REF!</definedName>
    <definedName name="asst" hidden="1">#REF!</definedName>
    <definedName name="Avg">#REF!</definedName>
    <definedName name="AW_Ok">#REF!</definedName>
    <definedName name="AWAPR">#REF!</definedName>
    <definedName name="axc" localSheetId="0" hidden="1">{#N/A,#N/A,FALSE,"dec98qtr";#N/A,#N/A,FALSE,"suppdecsep98";#N/A,#N/A,FALSE,"w-dec98"}</definedName>
    <definedName name="axc" hidden="1">{#N/A,#N/A,FALSE,"dec98qtr";#N/A,#N/A,FALSE,"suppdecsep98";#N/A,#N/A,FALSE,"w-dec98"}</definedName>
    <definedName name="ayesha" localSheetId="0" hidden="1">{#N/A,#N/A,FALSE,"Tuition FEE"}</definedName>
    <definedName name="ayesha" hidden="1">{#N/A,#N/A,FALSE,"Tuition FEE"}</definedName>
    <definedName name="az" localSheetId="0" hidden="1">{#N/A,#N/A,FALSE,"dec98qtr";#N/A,#N/A,FALSE,"suppdecsep98";#N/A,#N/A,FALSE,"w-dec98"}</definedName>
    <definedName name="az" hidden="1">{#N/A,#N/A,FALSE,"dec98qtr";#N/A,#N/A,FALSE,"suppdecsep98";#N/A,#N/A,FALSE,"w-dec98"}</definedName>
    <definedName name="azaz" localSheetId="0" hidden="1">{#N/A,#N/A,FALSE,"Aging Summary";#N/A,#N/A,FALSE,"Ratio Analysis";#N/A,#N/A,FALSE,"Test 120 Day Accts";#N/A,#N/A,FALSE,"Tickmarks"}</definedName>
    <definedName name="azaz" hidden="1">{#N/A,#N/A,FALSE,"Aging Summary";#N/A,#N/A,FALSE,"Ratio Analysis";#N/A,#N/A,FALSE,"Test 120 Day Accts";#N/A,#N/A,FALSE,"Tickmarks"}</definedName>
    <definedName name="Azg">#REF!</definedName>
    <definedName name="azgard">#N/A</definedName>
    <definedName name="B">#REF!</definedName>
    <definedName name="b_manual">#REF!</definedName>
    <definedName name="b13R1">#REF!</definedName>
    <definedName name="b18w8">#REF!</definedName>
    <definedName name="b18z94">#REF!</definedName>
    <definedName name="B19H1">#REF!</definedName>
    <definedName name="b5w9">#REF!</definedName>
    <definedName name="bABLU" localSheetId="0" hidden="1">{"'CALL MONEY'!$K$53"}</definedName>
    <definedName name="bABLU" hidden="1">{"'CALL MONEY'!$K$53"}</definedName>
    <definedName name="BALANCE">#REF!</definedName>
    <definedName name="BANK">#REF!</definedName>
    <definedName name="BASE">#REF!</definedName>
    <definedName name="Base_Data_Input_Page">#REF!</definedName>
    <definedName name="basis">OFFSET(#REF!,1,0)</definedName>
    <definedName name="BB">#REF!</definedName>
    <definedName name="BBB">#REF!</definedName>
    <definedName name="bbbbb" localSheetId="0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bbbbb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BBBBBBBB">#REF!</definedName>
    <definedName name="BBBC">#REF!</definedName>
    <definedName name="BBBD">#REF!</definedName>
    <definedName name="BBBE">#REF!</definedName>
    <definedName name="BBBF">#REF!</definedName>
    <definedName name="BBBG">#REF!</definedName>
    <definedName name="BBBH">#REF!</definedName>
    <definedName name="BBBI">#REF!</definedName>
    <definedName name="BBBJ">#REF!</definedName>
    <definedName name="BBBK">#REF!</definedName>
    <definedName name="BBBL">#REF!</definedName>
    <definedName name="BBBM">#REF!</definedName>
    <definedName name="BBBN">#REF!</definedName>
    <definedName name="BBBO">#REF!</definedName>
    <definedName name="BBBP">#REF!</definedName>
    <definedName name="BBBQ">#REF!</definedName>
    <definedName name="BBBR">#REF!</definedName>
    <definedName name="BBBS">#REF!</definedName>
    <definedName name="BBBT">#REF!</definedName>
    <definedName name="BBBU">#REF!</definedName>
    <definedName name="BBI">#REF!</definedName>
    <definedName name="bc1nd46">#REF!</definedName>
    <definedName name="bdg_2001" localSheetId="0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bdg_2001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bd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ED">#REF!</definedName>
    <definedName name="BEED">#REF!</definedName>
    <definedName name="Beg_Bal">#REF!</definedName>
    <definedName name="Benefits_Realized">#REF!</definedName>
    <definedName name="bg">#REF!</definedName>
    <definedName name="BG_Del" hidden="1">15</definedName>
    <definedName name="BG_Ins" hidden="1">4</definedName>
    <definedName name="BG_Mod" hidden="1">6</definedName>
    <definedName name="bgt" hidden="1">{"PL",#N/A,FALSE,"MRO";"CF",#N/A,FALSE,"MRO";"FC",#N/A,FALSE,"MRO";"BS",#N/A,FALSE,"MRO";"wc",#N/A,FALSE,"MRO";"RONA",#N/A,FALSE,"MRO";"VAR",#N/A,FALSE,"MRO";"ADD_INFO",#N/A,FALSE,"MRO"}</definedName>
    <definedName name="bhg" hidden="1">{"RONA",#N/A,FALSE,"MRO"}</definedName>
    <definedName name="BII">150</definedName>
    <definedName name="Bil" localSheetId="0" hidden="1">#REF!</definedName>
    <definedName name="Bil" hidden="1">#REF!</definedName>
    <definedName name="Bill" localSheetId="0" hidden="1">#REF!</definedName>
    <definedName name="Bill" hidden="1">#REF!</definedName>
    <definedName name="bis">#REF!</definedName>
    <definedName name="BLUE">#REF!</definedName>
    <definedName name="bn" localSheetId="0" hidden="1">{"MSS",#N/A,FALSE,"MSS";"ProdSA",#N/A,FALSE,"ProdSA";"Sales 1",#N/A,FALSE,"SALES";"Transfer 1",#N/A,FALSE,"TRANSFERS"}</definedName>
    <definedName name="bn" hidden="1">{"MSS",#N/A,FALSE,"MSS";"ProdSA",#N/A,FALSE,"ProdSA";"Sales 1",#N/A,FALSE,"SALES";"Transfer 1",#N/A,FALSE,"TRANSFERS"}</definedName>
    <definedName name="Br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udgeted">#REF!</definedName>
    <definedName name="BudgetedOrder">#REF!</definedName>
    <definedName name="BudgetedQty">#REF!</definedName>
    <definedName name="BudgetSummery">#REF!</definedName>
    <definedName name="BUILDING" localSheetId="0">{"'Proforma'!$A$1:$J$189"}</definedName>
    <definedName name="BUILDING">{"'Proforma'!$A$1:$J$189"}</definedName>
    <definedName name="buildinga">OFFSET(#REF!,1,0)</definedName>
    <definedName name="Buildings">OFFSET(#REF!,1,0)</definedName>
    <definedName name="Buildingsa">OFFSET(#REF!,0,0,#REF!)</definedName>
    <definedName name="ButtonCost">#REF!</definedName>
    <definedName name="ButtonFinishing">#REF!</definedName>
    <definedName name="bv" localSheetId="0" hidden="1">{"MSS",#N/A,FALSE,"MSS";"ProdSA",#N/A,FALSE,"ProdSA";"Sales 1",#N/A,FALSE,"SALES";"Transfer 1",#N/A,FALSE,"TRANSFERS"}</definedName>
    <definedName name="bv" hidden="1">{"MSS",#N/A,FALSE,"MSS";"ProdSA",#N/A,FALSE,"ProdSA";"Sales 1",#N/A,FALSE,"SALES";"Transfer 1",#N/A,FALSE,"TRANSFERS"}</definedName>
    <definedName name="bv10nt29">#REF!</definedName>
    <definedName name="BVC">#REF!</definedName>
    <definedName name="BvsA">#REF!</definedName>
    <definedName name="BW_Ok">#REF!</definedName>
    <definedName name="BWD">#REF!</definedName>
    <definedName name="By_Air">#REF!</definedName>
    <definedName name="Bz">#REF!</definedName>
    <definedName name="ca">#REF!</definedName>
    <definedName name="Cad">#REF!</definedName>
    <definedName name="CADMarker">#REF!</definedName>
    <definedName name="CALC">#REF!</definedName>
    <definedName name="calculations2" localSheetId="0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lculations2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P">#REF!</definedName>
    <definedName name="capital">#REF!</definedName>
    <definedName name="CAPTITALCOST">#REF!</definedName>
    <definedName name="CASH">#REF!</definedName>
    <definedName name="Cash___ROI_Statement">#REF!</definedName>
    <definedName name="CASH_FLOW">#REF!</definedName>
    <definedName name="cashflownotes" localSheetId="0" hidden="1">{#N/A,#N/A,FALSE,"Aging Summary";#N/A,#N/A,FALSE,"Ratio Analysis";#N/A,#N/A,FALSE,"Test 120 Day Accts";#N/A,#N/A,FALSE,"Tickmarks"}</definedName>
    <definedName name="cashflownotes" hidden="1">{#N/A,#N/A,FALSE,"Aging Summary";#N/A,#N/A,FALSE,"Ratio Analysis";#N/A,#N/A,FALSE,"Test 120 Day Accts";#N/A,#N/A,FALSE,"Tickmarks"}</definedName>
    <definedName name="CASHTAX">#REF!</definedName>
    <definedName name="CAWAPR">#REF!</definedName>
    <definedName name="CBORDER">#REF!</definedName>
    <definedName name="CCC">#REF!</definedName>
    <definedName name="cdvbzxc" localSheetId="0" hidden="1">{"'FF'!$B$57:$B$58"}</definedName>
    <definedName name="cdvbzxc" hidden="1">{"'FF'!$B$57:$B$58"}</definedName>
    <definedName name="ChangeRange" localSheetId="0" hidden="1">#REF!</definedName>
    <definedName name="ChangeRange" hidden="1">#REF!</definedName>
    <definedName name="ChemicalCode">#REF!</definedName>
    <definedName name="CHMBER" localSheetId="0" hidden="1">#REF!</definedName>
    <definedName name="CHMBER" hidden="1">#REF!</definedName>
    <definedName name="City1">#REF!</definedName>
    <definedName name="City2">#REF!</definedName>
    <definedName name="CityList">#REF!</definedName>
    <definedName name="classification">#REF!</definedName>
    <definedName name="Closing_Stocks_w">#REF!</definedName>
    <definedName name="CMT">#REF!</definedName>
    <definedName name="CMT_Rate">#REF!</definedName>
    <definedName name="CNFAir">#REF!</definedName>
    <definedName name="co19tk63">#REF!</definedName>
    <definedName name="CO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OC">#REF!</definedName>
    <definedName name="Code">#REF!</definedName>
    <definedName name="COGS">#REF!</definedName>
    <definedName name="COMPANY">#REF!</definedName>
    <definedName name="Compensation_Revenue">#REF!</definedName>
    <definedName name="con">#REF!</definedName>
    <definedName name="cons" localSheetId="0" hidden="1">{"'CALL MONEY'!$K$53"}</definedName>
    <definedName name="cons" hidden="1">{"'CALL MONEY'!$K$53"}</definedName>
    <definedName name="CONSTANT">#REF!</definedName>
    <definedName name="ContentsHelp" localSheetId="0" hidden="1">#REF!</definedName>
    <definedName name="ContentsHelp" hidden="1">#REF!</definedName>
    <definedName name="Cost_of_Vacancy_of_Sales_and_Service_Employees">#REF!</definedName>
    <definedName name="Cost_Type">#REF!</definedName>
    <definedName name="COSTING">#REF!</definedName>
    <definedName name="CR">#REF!</definedName>
    <definedName name="CreateTable" localSheetId="0" hidden="1">#REF!</definedName>
    <definedName name="CreateTable" hidden="1">#REF!</definedName>
    <definedName name="credit">#REF!</definedName>
    <definedName name="CSMV">#REF!</definedName>
    <definedName name="CTD">#REF!</definedName>
    <definedName name="Cum_Int">#REF!</definedName>
    <definedName name="Customer">#REF!</definedName>
    <definedName name="CustomerArticleMonth">#REF!</definedName>
    <definedName name="CustomerMonth">#REF!</definedName>
    <definedName name="CustomersList">#REF!</definedName>
    <definedName name="Cut_Plan">#REF!</definedName>
    <definedName name="CutPlan">#REF!</definedName>
    <definedName name="CutQty">#REF!</definedName>
    <definedName name="Cutting">#REF!</definedName>
    <definedName name="CuttoShipRatio">#REF!</definedName>
    <definedName name="cv" localSheetId="0" hidden="1">{#N/A,#N/A,FALSE,"dec98qtr";#N/A,#N/A,FALSE,"suppdecsep98";#N/A,#N/A,FALSE,"w-dec98"}</definedName>
    <definedName name="cv" hidden="1">{#N/A,#N/A,FALSE,"dec98qtr";#N/A,#N/A,FALSE,"suppdecsep98";#N/A,#N/A,FALSE,"w-dec98"}</definedName>
    <definedName name="cvc" localSheetId="0" hidden="1">{"Sales 2",#N/A,FALSE,"SALES";"Transfer 2",#N/A,FALSE,"TRANSFERS";"A1460",#N/A,FALSE,"A1460"}</definedName>
    <definedName name="cvc" hidden="1">{"Sales 2",#N/A,FALSE,"SALES";"Transfer 2",#N/A,FALSE,"TRANSFERS";"A1460",#N/A,FALSE,"A1460"}</definedName>
    <definedName name="cvf" localSheetId="0" hidden="1">{#N/A,#N/A,FALSE,"dec98qtr";#N/A,#N/A,FALSE,"suppdecsep98";#N/A,#N/A,FALSE,"w-dec98"}</definedName>
    <definedName name="cvf" hidden="1">{#N/A,#N/A,FALSE,"dec98qtr";#N/A,#N/A,FALSE,"suppdecsep98";#N/A,#N/A,FALSE,"w-dec98"}</definedName>
    <definedName name="CWAW">#REF!</definedName>
    <definedName name="cx" localSheetId="0" hidden="1">{"Sales 2",#N/A,FALSE,"SALES";"Transfer 2",#N/A,FALSE,"TRANSFERS";"A1460",#N/A,FALSE,"A1460"}</definedName>
    <definedName name="cx" hidden="1">{"Sales 2",#N/A,FALSE,"SALES";"Transfer 2",#N/A,FALSE,"TRANSFERS";"A1460",#N/A,FALSE,"A1460"}</definedName>
    <definedName name="CXX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XX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">#REF!</definedName>
    <definedName name="DA">#REF!</definedName>
    <definedName name="DA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mmy_Pack">#REF!</definedName>
    <definedName name="DAS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S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">#REF!</definedName>
    <definedName name="data.">#REF!</definedName>
    <definedName name="Data.Dump" localSheetId="0" hidden="1">OFFSET(#REF!,1,0)</definedName>
    <definedName name="Data.Dump" hidden="1">OFFSET(#REF!,1,0)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07" localSheetId="0" hidden="1">#REF!</definedName>
    <definedName name="DATA_07" hidden="1">#REF!</definedName>
    <definedName name="DATA_08" localSheetId="0" hidden="1">#REF!</definedName>
    <definedName name="DATA_08" hidden="1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0ab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1ab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2ab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3ab">#REF!</definedName>
    <definedName name="data14ab">#REF!</definedName>
    <definedName name="data15ab">#REF!</definedName>
    <definedName name="data16a">#REF!,#REF!,#REF!,#REF!</definedName>
    <definedName name="data16ab">#REF!</definedName>
    <definedName name="data17ab">#REF!</definedName>
    <definedName name="data18ab">#REF!</definedName>
    <definedName name="data19ab">#REF!</definedName>
    <definedName name="data1ab">#REF!</definedName>
    <definedName name="data2">#REF!</definedName>
    <definedName name="data20a">#REF!,#REF!,#REF!,#REF!,#REF!,#REF!,#REF!,#REF!</definedName>
    <definedName name="data20ab">#REF!</definedName>
    <definedName name="data21">#REF!,#REF!,#REF!,#REF!</definedName>
    <definedName name="data21ab">#REF!</definedName>
    <definedName name="data22">#REF!,#REF!,#REF!,#REF!</definedName>
    <definedName name="data22ab">#REF!</definedName>
    <definedName name="data23">#REF!,#REF!,#REF!,#REF!</definedName>
    <definedName name="data23ab">#REF!</definedName>
    <definedName name="data24">#REF!,#REF!,#REF!,#REF!</definedName>
    <definedName name="data24ab">#REF!</definedName>
    <definedName name="data25">#REF!,#REF!,#REF!,#REF!</definedName>
    <definedName name="data25ab">#REF!</definedName>
    <definedName name="data26">#REF!</definedName>
    <definedName name="data27">#REF!</definedName>
    <definedName name="data28">#REF!</definedName>
    <definedName name="data29">#REF!</definedName>
    <definedName name="data2ab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3ab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4ab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5ab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6ab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7ab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8ab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9ab">#REF!</definedName>
    <definedName name="_xlnm.Database">#REF!</definedName>
    <definedName name="DataTable">#REF!</definedName>
    <definedName name="Date">#REF!</definedName>
    <definedName name="Days">#REF!</definedName>
    <definedName name="Days_Fabric">#REF!</definedName>
    <definedName name="Days_Jeans">#REF!</definedName>
    <definedName name="DB">#REF!</definedName>
    <definedName name="DC">#REF!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D">#REF!</definedName>
    <definedName name="DDD">#REF!</definedName>
    <definedName name="dddd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fd" localSheetId="0" hidden="1">{#N/A,#N/A,FALSE,"Tuition FEE"}</definedName>
    <definedName name="dddfd" hidden="1">{#N/A,#N/A,FALSE,"Tuition FEE"}</definedName>
    <definedName name="ddfdf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fdf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x">#REF!</definedName>
    <definedName name="dea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bit">#REF!</definedName>
    <definedName name="Dec">#REF!</definedName>
    <definedName name="DEE">#REF!</definedName>
    <definedName name="DEED">#REF!</definedName>
    <definedName name="delete">#N/A</definedName>
    <definedName name="DeleteRange" localSheetId="0" hidden="1">#REF!</definedName>
    <definedName name="DeleteRange" hidden="1">#REF!</definedName>
    <definedName name="DeleteTable" localSheetId="0" hidden="1">#REF!</definedName>
    <definedName name="DeleteTable" hidden="1">#REF!</definedName>
    <definedName name="DenimLoad">#REF!</definedName>
    <definedName name="DEPRECIATION">#REF!</definedName>
    <definedName name="DeptWiseStock">#REF!</definedName>
    <definedName name="detail">#REF!</definedName>
    <definedName name="DEWAN">#REF!</definedName>
    <definedName name="dfa" localSheetId="0" hidden="1">{"Annual_Income",#N/A,FALSE,"Report Page";"Balance_Cash_Flow",#N/A,FALSE,"Report Page";"Quarterly_Income",#N/A,FALSE,"Report Page"}</definedName>
    <definedName name="dfa" hidden="1">{"Annual_Income",#N/A,FALSE,"Report Page";"Balance_Cash_Flow",#N/A,FALSE,"Report Page";"Quarterly_Income",#N/A,FALSE,"Report Page"}</definedName>
    <definedName name="dfd">#REF!</definedName>
    <definedName name="dfd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s" localSheetId="0" hidden="1">#REF!</definedName>
    <definedName name="dfds" hidden="1">#REF!</definedName>
    <definedName name="dfg" localSheetId="0" hidden="1">{#N/A,#N/A,FALSE,"dec98qtr";#N/A,#N/A,FALSE,"suppdecsep98";#N/A,#N/A,FALSE,"w-dec98"}</definedName>
    <definedName name="dfg" hidden="1">{#N/A,#N/A,FALSE,"dec98qtr";#N/A,#N/A,FALSE,"suppdecsep98";#N/A,#N/A,FALSE,"w-dec98"}</definedName>
    <definedName name="dfg_1_2" hidden="1">{#N/A,#N/A,FALSE,"dec98qtr";#N/A,#N/A,FALSE,"suppdecsep98";#N/A,#N/A,FALSE,"w-dec98"}</definedName>
    <definedName name="dfg_1_3" hidden="1">{#N/A,#N/A,FALSE,"dec98qtr";#N/A,#N/A,FALSE,"suppdecsep98";#N/A,#N/A,FALSE,"w-dec98"}</definedName>
    <definedName name="dfg_1_4" hidden="1">{#N/A,#N/A,FALSE,"dec98qtr";#N/A,#N/A,FALSE,"suppdecsep98";#N/A,#N/A,FALSE,"w-dec98"}</definedName>
    <definedName name="dfg_1_5" hidden="1">{#N/A,#N/A,FALSE,"dec98qtr";#N/A,#N/A,FALSE,"suppdecsep98";#N/A,#N/A,FALSE,"w-dec98"}</definedName>
    <definedName name="dfg_2" hidden="1">{#N/A,#N/A,FALSE,"dec98qtr";#N/A,#N/A,FALSE,"suppdecsep98";#N/A,#N/A,FALSE,"w-dec98"}</definedName>
    <definedName name="dfg_3" hidden="1">{#N/A,#N/A,FALSE,"dec98qtr";#N/A,#N/A,FALSE,"suppdecsep98";#N/A,#N/A,FALSE,"w-dec98"}</definedName>
    <definedName name="dfg_4" hidden="1">{#N/A,#N/A,FALSE,"dec98qtr";#N/A,#N/A,FALSE,"suppdecsep98";#N/A,#N/A,FALSE,"w-dec98"}</definedName>
    <definedName name="dfg_5" hidden="1">{#N/A,#N/A,FALSE,"dec98qtr";#N/A,#N/A,FALSE,"suppdecsep98";#N/A,#N/A,FALSE,"w-dec98"}</definedName>
    <definedName name="dfgh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sdfsdf" localSheetId="0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dfsdfsdf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DFSLK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SLK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SV">#REF!</definedName>
    <definedName name="dfzsdfs" hidden="1">1</definedName>
    <definedName name="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DPR">#REF!</definedName>
    <definedName name="Dips">#REF!</definedName>
    <definedName name="Direct_Labor">#REF!</definedName>
    <definedName name="Direct_Material">#REF!</definedName>
    <definedName name="Direct_Savings_from_ASP_strategy">#REF!</definedName>
    <definedName name="DIRECTORY">#REF!</definedName>
    <definedName name="Disclosure" localSheetId="0" hidden="1">{"'CALL MONEY'!$K$53"}</definedName>
    <definedName name="Disclosure" hidden="1">{"'CALL MONEY'!$K$53"}</definedName>
    <definedName name="Discounted_Cash_Flow">#REF!</definedName>
    <definedName name="Dispatch">#REF!</definedName>
    <definedName name="Dispatch_detail">#REF!</definedName>
    <definedName name="Display">#REF!</definedName>
    <definedName name="display_area_2">#REF!</definedName>
    <definedName name="display_area_3">#REF!</definedName>
    <definedName name="display_area_4">#REF!</definedName>
    <definedName name="display_area_5">#REF!</definedName>
    <definedName name="display_area_6">#REF!</definedName>
    <definedName name="display_area_7">#REF!</definedName>
    <definedName name="display_area_8">#REF!</definedName>
    <definedName name="disps" localSheetId="0" hidden="1">{"MSS",#N/A,FALSE,"MSS";"ProdSA",#N/A,FALSE,"ProdSA";"Sales 1",#N/A,FALSE,"SALES";"Transfer 1",#N/A,FALSE,"TRANSFERS"}</definedName>
    <definedName name="disps" hidden="1">{"MSS",#N/A,FALSE,"MSS";"ProdSA",#N/A,FALSE,"ProdSA";"Sales 1",#N/A,FALSE,"SALES";"Transfer 1",#N/A,FALSE,"TRANSFERS"}</definedName>
    <definedName name="djfk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jf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lk" localSheetId="0" hidden="1">#REF!</definedName>
    <definedName name="dlk" hidden="1">#REF!</definedName>
    <definedName name="Do_you_wish_to_include_timeliness_and_adequacy_calculation?">#REF!</definedName>
    <definedName name="Double_Dip">#REF!</definedName>
    <definedName name="DPR">#REF!</definedName>
    <definedName name="dsafgsdfg" localSheetId="0" hidden="1">{#N/A,#N/A,FALSE,"Aging Summary";#N/A,#N/A,FALSE,"Ratio Analysis";#N/A,#N/A,FALSE,"Test 120 Day Accts";#N/A,#N/A,FALSE,"Tickmarks"}</definedName>
    <definedName name="dsafgsdfg" hidden="1">{#N/A,#N/A,FALSE,"Aging Summary";#N/A,#N/A,FALSE,"Ratio Analysis";#N/A,#N/A,FALSE,"Test 120 Day Accts";#N/A,#N/A,FALSE,"Tickmarks"}</definedName>
    <definedName name="dsdf">#REF!</definedName>
    <definedName name="dsd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fd">#REF!</definedName>
    <definedName name="dsfjhfjk" localSheetId="0" hidden="1">{#N/A,#N/A,FALSE,"dec98qtr";#N/A,#N/A,FALSE,"suppdecsep98";#N/A,#N/A,FALSE,"w-dec98"}</definedName>
    <definedName name="dsfjhfjk" hidden="1">{#N/A,#N/A,FALSE,"dec98qtr";#N/A,#N/A,FALSE,"suppdecsep98";#N/A,#N/A,FALSE,"w-dec98"}</definedName>
    <definedName name="dsfjhfjk_1_2" hidden="1">{#N/A,#N/A,FALSE,"dec98qtr";#N/A,#N/A,FALSE,"suppdecsep98";#N/A,#N/A,FALSE,"w-dec98"}</definedName>
    <definedName name="dsfjhfjk_1_3" hidden="1">{#N/A,#N/A,FALSE,"dec98qtr";#N/A,#N/A,FALSE,"suppdecsep98";#N/A,#N/A,FALSE,"w-dec98"}</definedName>
    <definedName name="dsfjhfjk_1_4" hidden="1">{#N/A,#N/A,FALSE,"dec98qtr";#N/A,#N/A,FALSE,"suppdecsep98";#N/A,#N/A,FALSE,"w-dec98"}</definedName>
    <definedName name="dsfjhfjk_1_5" hidden="1">{#N/A,#N/A,FALSE,"dec98qtr";#N/A,#N/A,FALSE,"suppdecsep98";#N/A,#N/A,FALSE,"w-dec98"}</definedName>
    <definedName name="dsfjhfjk_2" hidden="1">{#N/A,#N/A,FALSE,"dec98qtr";#N/A,#N/A,FALSE,"suppdecsep98";#N/A,#N/A,FALSE,"w-dec98"}</definedName>
    <definedName name="dsfjhfjk_3" hidden="1">{#N/A,#N/A,FALSE,"dec98qtr";#N/A,#N/A,FALSE,"suppdecsep98";#N/A,#N/A,FALSE,"w-dec98"}</definedName>
    <definedName name="dsfjhfjk_4" hidden="1">{#N/A,#N/A,FALSE,"dec98qtr";#N/A,#N/A,FALSE,"suppdecsep98";#N/A,#N/A,FALSE,"w-dec98"}</definedName>
    <definedName name="dsfjhfjk_5" hidden="1">{#N/A,#N/A,FALSE,"dec98qtr";#N/A,#N/A,FALSE,"suppdecsep98";#N/A,#N/A,FALSE,"w-dec98"}</definedName>
    <definedName name="dsfsdfsda">#REF!</definedName>
    <definedName name="dsgdssdg" localSheetId="0" hidden="1">#REF!</definedName>
    <definedName name="dsgdssdg" hidden="1">#REF!</definedName>
    <definedName name="DT" localSheetId="0" hidden="1">{"'CALL MONEY'!$K$53"}</definedName>
    <definedName name="DT" hidden="1">{"'CALL MONEY'!$K$53"}</definedName>
    <definedName name="dtml" localSheetId="0" hidden="1">{"'FF'!$B$57:$B$58"}</definedName>
    <definedName name="dtml" hidden="1">{"'FF'!$B$57:$B$58"}</definedName>
    <definedName name="DTT" localSheetId="0" hidden="1">{"'CALL MONEY'!$K$53"}</definedName>
    <definedName name="DTT" hidden="1">{"'CALL MONEY'!$K$53"}</definedName>
    <definedName name="DUE">#REF!</definedName>
    <definedName name="DW">#REF!</definedName>
    <definedName name="DW_FPR">#REF!</definedName>
    <definedName name="DWS">#REF!</definedName>
    <definedName name="DY">#REF!</definedName>
    <definedName name="DZ">#REF!</definedName>
    <definedName name="e">#REF!</definedName>
    <definedName name="E45T90">#REF!</definedName>
    <definedName name="econ_profit">#REF!</definedName>
    <definedName name="ecv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dv">#REF!</definedName>
    <definedName name="EE">#REF!</definedName>
    <definedName name="EEE">#REF!</definedName>
    <definedName name="eeee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e" localSheetId="0" hidden="1">{"'Leverage'!$B$2:$M$418"}</definedName>
    <definedName name="eeeeee" hidden="1">{"'Leverage'!$B$2:$M$418"}</definedName>
    <definedName name="EEEEEE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E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ff">#REF!</definedName>
    <definedName name="EMB">#REF!</definedName>
    <definedName name="embd">#REF!</definedName>
    <definedName name="EmbPrinting">#REF!</definedName>
    <definedName name="Embroidery">#REF!</definedName>
    <definedName name="Embroiderycmt">#REF!</definedName>
    <definedName name="End_Bal">#REF!</definedName>
    <definedName name="Enter_number">#REF!</definedName>
    <definedName name="ep">#REF!</definedName>
    <definedName name="EPC" localSheetId="0" hidden="1">#REF!</definedName>
    <definedName name="EPC" hidden="1">#REF!</definedName>
    <definedName name="ern.nuovo" localSheetId="0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ern.nuovo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ERT">#REF!</definedName>
    <definedName name="er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scalatedM">#REF!</definedName>
    <definedName name="EscalatedM1">#REF!</definedName>
    <definedName name="EscalatedM10">#REF!</definedName>
    <definedName name="EscalatedM11">#REF!</definedName>
    <definedName name="EscalatedM12">#REF!</definedName>
    <definedName name="EscalatedM13">#REF!</definedName>
    <definedName name="EscalatedM14">#REF!</definedName>
    <definedName name="EscalatedM2">#REF!</definedName>
    <definedName name="EscalatedM3">#REF!</definedName>
    <definedName name="EscalatedM4">#REF!</definedName>
    <definedName name="EscalatedM5">#REF!</definedName>
    <definedName name="EscalatedM6">#REF!</definedName>
    <definedName name="EscalatedM7">#REF!</definedName>
    <definedName name="EscalatedM8">#REF!</definedName>
    <definedName name="EscalatedM9">#REF!</definedName>
    <definedName name="EscalationA">#REF!</definedName>
    <definedName name="EscalationA1">#REF!</definedName>
    <definedName name="EscalationA2">#REF!</definedName>
    <definedName name="EscalationA3">#REF!</definedName>
    <definedName name="EscalationCom">#REF!</definedName>
    <definedName name="EscalationCom1">#REF!</definedName>
    <definedName name="EscalationCom2">#REF!</definedName>
    <definedName name="EscalationCom3">#REF!</definedName>
    <definedName name="EscalationE">#REF!</definedName>
    <definedName name="EscalationE1">#REF!</definedName>
    <definedName name="EscalationE2">#REF!</definedName>
    <definedName name="EscalationE3">#REF!</definedName>
    <definedName name="EscalationE4">#REF!</definedName>
    <definedName name="est" localSheetId="0" hidden="1">{"EVA",#N/A,FALSE,"EVA";"WACC",#N/A,FALSE,"WACC"}</definedName>
    <definedName name="est" hidden="1">{"EVA",#N/A,FALSE,"EVA";"WACC",#N/A,FALSE,"WACC"}</definedName>
    <definedName name="eu" localSheetId="0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eu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EV">#REF!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39434.5021296296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"JvG"</definedName>
    <definedName name="EV_LASTREFTIME" hidden="1">39434.6837037037</definedName>
    <definedName name="EV_LASTTIME" hidden="1">39434.6837037037</definedName>
    <definedName name="ew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w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wrw" hidden="1">{"PL",#N/A,FALSE,"MRO"}</definedName>
    <definedName name="ExactAddinConnection" hidden="1">"102"</definedName>
    <definedName name="ExactAddinConnection.102" hidden="1">"DATA_SERVER;102;rabnawaz.anjum;1"</definedName>
    <definedName name="ExactAddinConnection.103" hidden="1">"DATA_SERVER;103;rabnawaz.anjum;1"</definedName>
    <definedName name="ExactAddinReports" hidden="1">1</definedName>
    <definedName name="Exhibi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xhibi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xpense1">#REF!</definedName>
    <definedName name="Expense2">#REF!</definedName>
    <definedName name="Expense3">#REF!</definedName>
    <definedName name="Expense4">#REF!</definedName>
    <definedName name="ExpenseAnalysis">#REF!</definedName>
    <definedName name="ExpenseAnalysisPaste">#REF!</definedName>
    <definedName name="ExpensePaste">#REF!</definedName>
    <definedName name="External_Time_to_Start__Total">#REF!</definedName>
    <definedName name="Extra_Pay">#REF!</definedName>
    <definedName name="f">#REF!</definedName>
    <definedName name="F_BALANCE">#REF!</definedName>
    <definedName name="f_capital">#REF!</definedName>
    <definedName name="F_CASH">#REF!</definedName>
    <definedName name="f_econ_profit">#REF!</definedName>
    <definedName name="F_FINANCE">#REF!</definedName>
    <definedName name="f_free_cash_flow">#REF!</definedName>
    <definedName name="F_INCOME">#REF!</definedName>
    <definedName name="F_INVEST">#REF!</definedName>
    <definedName name="f_manual">#REF!</definedName>
    <definedName name="F_NOPLAT">#REF!</definedName>
    <definedName name="F_OPERATING">#REF!</definedName>
    <definedName name="f_ratios">#REF!</definedName>
    <definedName name="F_RESULTS">#REF!</definedName>
    <definedName name="f_roic">#REF!</definedName>
    <definedName name="F_SUP_CALC">#REF!</definedName>
    <definedName name="f_valuation">#REF!</definedName>
    <definedName name="F1D1">#REF!</definedName>
    <definedName name="F51P12">#REF!</definedName>
    <definedName name="FA">#REF!</definedName>
    <definedName name="fab">OFFSET(#REF!,1,0)</definedName>
    <definedName name="fabric">#REF!</definedName>
    <definedName name="Fabric_Con_Jean">#REF!</definedName>
    <definedName name="Fabric_Rates">#REF!</definedName>
    <definedName name="fabriccmt">#REF!</definedName>
    <definedName name="FabricStock">#REF!</definedName>
    <definedName name="Factory_Overhead">#REF!</definedName>
    <definedName name="far">#REF!</definedName>
    <definedName name="farooq">#REF!</definedName>
    <definedName name="FBASE">#REF!</definedName>
    <definedName name="FC">#REF!</definedName>
    <definedName name="FCA">#REF!</definedName>
    <definedName name="FCACMT">#REF!</definedName>
    <definedName name="FCAInhouse">#REF!</definedName>
    <definedName name="FCASHTAX">#REF!</definedName>
    <definedName name="FCOGS">#REF!</definedName>
    <definedName name="FCONSTANT">#REF!</definedName>
    <definedName name="FCOW">#REF!</definedName>
    <definedName name="FCOW_closedorders">#REF!</definedName>
    <definedName name="FCOWCMT">#REF!</definedName>
    <definedName name="FCOWCMT_closedorders">#REF!</definedName>
    <definedName name="FCQW">#REF!</definedName>
    <definedName name="FCY" localSheetId="0" hidden="1">{"'DCF mthod 15%'!$A$1:$L$85"}</definedName>
    <definedName name="FCY" hidden="1">{"'DCF mthod 15%'!$A$1:$L$85"}</definedName>
    <definedName name="fd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">#REF!</definedName>
    <definedName name="FDEPRECIATION">#REF!</definedName>
    <definedName name="FDF" localSheetId="0" hidden="1">{#N/A,#N/A,FALSE,"Income State.";#N/A,#N/A,FALSE,"B-S"}</definedName>
    <definedName name="FDF" hidden="1">{#N/A,#N/A,FALSE,"Income State.";#N/A,#N/A,FALSE,"B-S"}</definedName>
    <definedName name="fdfd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fd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f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gsd">#REF!</definedName>
    <definedName name="FDN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N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f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f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gfgf">#REF!</definedName>
    <definedName name="fdv" hidden="1">{"VAR",#N/A,FALSE,"MRO"}</definedName>
    <definedName name="Federal_Income_Tax">#REF!</definedName>
    <definedName name="FEE">#REF!</definedName>
    <definedName name="feew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eew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">#REF!</definedName>
    <definedName name="ff15n13">#REF!</definedName>
    <definedName name="ff48r62">#REF!</definedName>
    <definedName name="ffefe" localSheetId="0" hidden="1">{"adj95mult",#N/A,FALSE,"COMPCO";"adj95est",#N/A,FALSE,"COMPCO"}</definedName>
    <definedName name="ffefe" hidden="1">{"adj95mult",#N/A,FALSE,"COMPCO";"adj95est",#N/A,FALSE,"COMPCO"}</definedName>
    <definedName name="FFF">#REF!</definedName>
    <definedName name="ffff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ff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INANCE">#REF!</definedName>
    <definedName name="FGB">#REF!</definedName>
    <definedName name="fgd" hidden="1">{"wc",#N/A,FALSE,"MRO"}</definedName>
    <definedName name="fgerg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er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fgd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fg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h" localSheetId="0" hidden="1">#REF!</definedName>
    <definedName name="fgh" hidden="1">#REF!</definedName>
    <definedName name="fgh_1_2" hidden="1">{#N/A,#N/A,FALSE,"dec98qtr";#N/A,#N/A,FALSE,"suppdecsep98";#N/A,#N/A,FALSE,"w-dec98"}</definedName>
    <definedName name="fgh_1_3" hidden="1">{#N/A,#N/A,FALSE,"dec98qtr";#N/A,#N/A,FALSE,"suppdecsep98";#N/A,#N/A,FALSE,"w-dec98"}</definedName>
    <definedName name="fgh_1_4" hidden="1">{#N/A,#N/A,FALSE,"dec98qtr";#N/A,#N/A,FALSE,"suppdecsep98";#N/A,#N/A,FALSE,"w-dec98"}</definedName>
    <definedName name="fgh_1_5" hidden="1">{#N/A,#N/A,FALSE,"dec98qtr";#N/A,#N/A,FALSE,"suppdecsep98";#N/A,#N/A,FALSE,"w-dec98"}</definedName>
    <definedName name="fgh_2" hidden="1">{#N/A,#N/A,FALSE,"dec98qtr";#N/A,#N/A,FALSE,"suppdecsep98";#N/A,#N/A,FALSE,"w-dec98"}</definedName>
    <definedName name="fgh_3" hidden="1">{#N/A,#N/A,FALSE,"dec98qtr";#N/A,#N/A,FALSE,"suppdecsep98";#N/A,#N/A,FALSE,"w-dec98"}</definedName>
    <definedName name="fgh_4" hidden="1">{#N/A,#N/A,FALSE,"dec98qtr";#N/A,#N/A,FALSE,"suppdecsep98";#N/A,#N/A,FALSE,"w-dec98"}</definedName>
    <definedName name="fgh_5" hidden="1">{#N/A,#N/A,FALSE,"dec98qtr";#N/A,#N/A,FALSE,"suppdecsep98";#N/A,#N/A,FALSE,"w-dec98"}</definedName>
    <definedName name="fghgfhfh" localSheetId="0" hidden="1">{#N/A,#N/A,FALSE,"Tuition FEE"}</definedName>
    <definedName name="fghgfhfh" hidden="1">{#N/A,#N/A,FALSE,"Tuition FEE"}</definedName>
    <definedName name="FGROWTH">#REF!</definedName>
    <definedName name="fgvbv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vbv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hdu" localSheetId="0" hidden="1">{"'UMTS traffic (standard)'!$A$1:$K$80"}</definedName>
    <definedName name="fhdu" hidden="1">{"'UMTS traffic (standard)'!$A$1:$K$80"}</definedName>
    <definedName name="fhfh" localSheetId="0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fhfh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Figure">#REF!</definedName>
    <definedName name="Figure1">#REF!</definedName>
    <definedName name="Figure2">#REF!</definedName>
    <definedName name="Figure3">#REF!</definedName>
    <definedName name="FILE">#REF!</definedName>
    <definedName name="fill" localSheetId="0" hidden="1">#REF!</definedName>
    <definedName name="fill" hidden="1">#REF!</definedName>
    <definedName name="FINANCE">#REF!</definedName>
    <definedName name="finance2" localSheetId="0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ce2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CREASED">#REF!</definedName>
    <definedName name="FINETOTHER">#REF!</definedName>
    <definedName name="FINETPPE">#REF!</definedName>
    <definedName name="Finishing">#REF!</definedName>
    <definedName name="FINTENSITY">#REF!</definedName>
    <definedName name="FINVESTMENT">#REF!</definedName>
    <definedName name="FINVESTYEARS">#REF!</definedName>
    <definedName name="fiuck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WORKING">#REF!</definedName>
    <definedName name="Fixed_Costs">#REF!</definedName>
    <definedName name="fjk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k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LK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LK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sdlw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sdlw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dj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dj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g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g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sl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sl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egtcher123" localSheetId="0" hidden="1">{"'CALL MONEY'!$K$53"}</definedName>
    <definedName name="flegtcher123" hidden="1">{"'CALL MONEY'!$K$53"}</definedName>
    <definedName name="fletcher" localSheetId="0" hidden="1">{"'CALL MONEY'!$K$53"}</definedName>
    <definedName name="fletcher" hidden="1">{"'CALL MONEY'!$K$53"}</definedName>
    <definedName name="FLOW">#REF!</definedName>
    <definedName name="FLOW0">#REF!</definedName>
    <definedName name="FLR">#REF!</definedName>
    <definedName name="FLR.">#REF!</definedName>
    <definedName name="FLS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S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ujo2" localSheetId="0" hidden="1">{"FLUJO DE CAJA",#N/A,FALSE,"Hoja1";"ANEXOS FLUJO",#N/A,FALSE,"Hoja1"}</definedName>
    <definedName name="flujo2" hidden="1">{"FLUJO DE CAJA",#N/A,FALSE,"Hoja1";"ANEXOS FLUJO",#N/A,FALSE,"Hoja1"}</definedName>
    <definedName name="FMARGIN">#REF!</definedName>
    <definedName name="F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ETPPE">#REF!</definedName>
    <definedName name="FNOPLAT">#REF!</definedName>
    <definedName name="FNP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bSeaAir">#REF!</definedName>
    <definedName name="FOH">#REF!</definedName>
    <definedName name="foiu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PERATING">#REF!</definedName>
    <definedName name="FORE_ALL">#REF!</definedName>
    <definedName name="FOTHER">#REF!</definedName>
    <definedName name="FP">#REF!</definedName>
    <definedName name="FPDataforReward">#REF!</definedName>
    <definedName name="FPR.">OFFSET(#REF!,1,0)</definedName>
    <definedName name="FPR_WIP_Stock">#REF!</definedName>
    <definedName name="FPREROIC">#REF!</definedName>
    <definedName name="FPRewardFeb09">#REF!</definedName>
    <definedName name="FPRewardMar09">#REF!</definedName>
    <definedName name="F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age" localSheetId="0" hidden="1">{#N/A,#N/A,FALSE,"incomeA";#N/A,#N/A,FALSE,"scenariosA";#N/A,#N/A,FALSE,"marginsA";#N/A,#N/A,FALSE,"balanceA";#N/A,#N/A,FALSE,"cashflowA";#N/A,#N/A,FALSE,"ratiosa";#N/A,#N/A,FALSE,"depreciationA"}</definedName>
    <definedName name="frage" hidden="1">{#N/A,#N/A,FALSE,"incomeA";#N/A,#N/A,FALSE,"scenariosA";#N/A,#N/A,FALSE,"marginsA";#N/A,#N/A,FALSE,"balanceA";#N/A,#N/A,FALSE,"cashflowA";#N/A,#N/A,FALSE,"ratiosa";#N/A,#N/A,FALSE,"depreciationA"}</definedName>
    <definedName name="free_cash_flow">#REF!</definedName>
    <definedName name="FreshFabricLaid">#REF!</definedName>
    <definedName name="frityu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OIC">#REF!</definedName>
    <definedName name="FROICYEARS">#REF!</definedName>
    <definedName name="FROS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OS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">OFFSET(#REF!,1,0)</definedName>
    <definedName name="FSG_A">#REF!</definedName>
    <definedName name="FSKJ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KJ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lkj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lkj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MV">#REF!</definedName>
    <definedName name="FSoPacific" localSheetId="0" hidden="1">{"BS",#N/A,FALSE,"USA"}</definedName>
    <definedName name="FSoPacific" hidden="1">{"BS",#N/A,FALSE,"USA"}</definedName>
    <definedName name="ftg" localSheetId="0" hidden="1">{"Sales 2",#N/A,FALSE,"SALES";"Transfer 2",#N/A,FALSE,"TRANSFERS";"A1460",#N/A,FALSE,"A1460"}</definedName>
    <definedName name="ftg" hidden="1">{"Sales 2",#N/A,FALSE,"SALES";"Transfer 2",#N/A,FALSE,"TRANSFERS";"A1460",#N/A,FALSE,"A1460"}</definedName>
    <definedName name="FTURNOVER">#REF!</definedName>
    <definedName name="Full_Print">#REF!</definedName>
    <definedName name="FUR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R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v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v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WORKING">#REF!</definedName>
    <definedName name="g">#REF!</definedName>
    <definedName name="g16rr9">#REF!</definedName>
    <definedName name="GA">#REF!</definedName>
    <definedName name="ganacias2" localSheetId="0" hidden="1">{"GAN.Y PERD.RESUMIDO",#N/A,FALSE,"Hoja1";"GAN.Y PERD.DETALLADO",#N/A,FALSE,"Hoja1"}</definedName>
    <definedName name="ganacias2" hidden="1">{"GAN.Y PERD.RESUMIDO",#N/A,FALSE,"Hoja1";"GAN.Y PERD.DETALLADO",#N/A,FALSE,"Hoja1"}</definedName>
    <definedName name="gb">#REF!,#REF!</definedName>
    <definedName name="GBALANCE">#REF!</definedName>
    <definedName name="GCAP_INVEST">#REF!</definedName>
    <definedName name="GDP">#REF!</definedName>
    <definedName name="GDP_Chemical">#REF!</definedName>
    <definedName name="GDPChemical">#REF!</definedName>
    <definedName name="GDPCuttoShip">#REF!</definedName>
    <definedName name="GDPMaterial">#REF!</definedName>
    <definedName name="GDPR">#REF!</definedName>
    <definedName name="GEE">#REF!</definedName>
    <definedName name="GEEEE">#REF!</definedName>
    <definedName name="gfgdhf" localSheetId="0" hidden="1">{"Sales 2",#N/A,FALSE,"SALES";"Transfer 2",#N/A,FALSE,"TRANSFERS";"A1460",#N/A,FALSE,"A1460"}</definedName>
    <definedName name="gfgdhf" hidden="1">{"Sales 2",#N/A,FALSE,"SALES";"Transfer 2",#N/A,FALSE,"TRANSFERS";"A1460",#N/A,FALSE,"A1460"}</definedName>
    <definedName name="gfgdhf_1_2" hidden="1">{"Sales 2",#N/A,FALSE,"SALES";"Transfer 2",#N/A,FALSE,"TRANSFERS";"A1460",#N/A,FALSE,"A1460"}</definedName>
    <definedName name="gfgdhf_1_3" hidden="1">{"Sales 2",#N/A,FALSE,"SALES";"Transfer 2",#N/A,FALSE,"TRANSFERS";"A1460",#N/A,FALSE,"A1460"}</definedName>
    <definedName name="gfgdhf_1_4" hidden="1">{"Sales 2",#N/A,FALSE,"SALES";"Transfer 2",#N/A,FALSE,"TRANSFERS";"A1460",#N/A,FALSE,"A1460"}</definedName>
    <definedName name="gfgdhf_1_5" hidden="1">{"Sales 2",#N/A,FALSE,"SALES";"Transfer 2",#N/A,FALSE,"TRANSFERS";"A1460",#N/A,FALSE,"A1460"}</definedName>
    <definedName name="gfgdhf_2" hidden="1">{"Sales 2",#N/A,FALSE,"SALES";"Transfer 2",#N/A,FALSE,"TRANSFERS";"A1460",#N/A,FALSE,"A1460"}</definedName>
    <definedName name="gfgdhf_3" hidden="1">{"Sales 2",#N/A,FALSE,"SALES";"Transfer 2",#N/A,FALSE,"TRANSFERS";"A1460",#N/A,FALSE,"A1460"}</definedName>
    <definedName name="gfgdhf_4" hidden="1">{"Sales 2",#N/A,FALSE,"SALES";"Transfer 2",#N/A,FALSE,"TRANSFERS";"A1460",#N/A,FALSE,"A1460"}</definedName>
    <definedName name="gfgdhf_5" hidden="1">{"Sales 2",#N/A,FALSE,"SALES";"Transfer 2",#N/A,FALSE,"TRANSFERS";"A1460",#N/A,FALSE,"A1460"}</definedName>
    <definedName name="GFINANCE">#REF!</definedName>
    <definedName name="GFORECAST">#REF!</definedName>
    <definedName name="GFREE_CASH">#REF!</definedName>
    <definedName name="gg" localSheetId="0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_1_2" hidden="1">{"Sales 2",#N/A,FALSE,"SALES";"Transfer 2",#N/A,FALSE,"TRANSFERS";"A1460",#N/A,FALSE,"A1460"}</definedName>
    <definedName name="gg_1_3" hidden="1">{"Sales 2",#N/A,FALSE,"SALES";"Transfer 2",#N/A,FALSE,"TRANSFERS";"A1460",#N/A,FALSE,"A1460"}</definedName>
    <definedName name="gg_1_4" hidden="1">{"Sales 2",#N/A,FALSE,"SALES";"Transfer 2",#N/A,FALSE,"TRANSFERS";"A1460",#N/A,FALSE,"A1460"}</definedName>
    <definedName name="gg_1_5" hidden="1">{"Sales 2",#N/A,FALSE,"SALES";"Transfer 2",#N/A,FALSE,"TRANSFERS";"A1460",#N/A,FALSE,"A1460"}</definedName>
    <definedName name="gg_2" hidden="1">{"Sales 2",#N/A,FALSE,"SALES";"Transfer 2",#N/A,FALSE,"TRANSFERS";"A1460",#N/A,FALSE,"A1460"}</definedName>
    <definedName name="gg_3" hidden="1">{"Sales 2",#N/A,FALSE,"SALES";"Transfer 2",#N/A,FALSE,"TRANSFERS";"A1460",#N/A,FALSE,"A1460"}</definedName>
    <definedName name="gg_4" hidden="1">{"Sales 2",#N/A,FALSE,"SALES";"Transfer 2",#N/A,FALSE,"TRANSFERS";"A1460",#N/A,FALSE,"A1460"}</definedName>
    <definedName name="gg_5" hidden="1">{"Sales 2",#N/A,FALSE,"SALES";"Transfer 2",#N/A,FALSE,"TRANSFERS";"A1460",#N/A,FALSE,"A1460"}</definedName>
    <definedName name="ggf" localSheetId="0" hidden="1">{#N/A,#N/A,FALSE,"dec98qtr";#N/A,#N/A,FALSE,"suppdecsep98";#N/A,#N/A,FALSE,"w-dec98"}</definedName>
    <definedName name="ggf" hidden="1">{#N/A,#N/A,FALSE,"dec98qtr";#N/A,#N/A,FALSE,"suppdecsep98";#N/A,#N/A,FALSE,"w-dec98"}</definedName>
    <definedName name="ggf_1_2" hidden="1">{#N/A,#N/A,FALSE,"dec98qtr";#N/A,#N/A,FALSE,"suppdecsep98";#N/A,#N/A,FALSE,"w-dec98"}</definedName>
    <definedName name="ggf_1_3" hidden="1">{#N/A,#N/A,FALSE,"dec98qtr";#N/A,#N/A,FALSE,"suppdecsep98";#N/A,#N/A,FALSE,"w-dec98"}</definedName>
    <definedName name="ggf_1_4" hidden="1">{#N/A,#N/A,FALSE,"dec98qtr";#N/A,#N/A,FALSE,"suppdecsep98";#N/A,#N/A,FALSE,"w-dec98"}</definedName>
    <definedName name="ggf_1_5" hidden="1">{#N/A,#N/A,FALSE,"dec98qtr";#N/A,#N/A,FALSE,"suppdecsep98";#N/A,#N/A,FALSE,"w-dec98"}</definedName>
    <definedName name="ggf_2" hidden="1">{#N/A,#N/A,FALSE,"dec98qtr";#N/A,#N/A,FALSE,"suppdecsep98";#N/A,#N/A,FALSE,"w-dec98"}</definedName>
    <definedName name="ggf_3" hidden="1">{#N/A,#N/A,FALSE,"dec98qtr";#N/A,#N/A,FALSE,"suppdecsep98";#N/A,#N/A,FALSE,"w-dec98"}</definedName>
    <definedName name="ggf_4" hidden="1">{#N/A,#N/A,FALSE,"dec98qtr";#N/A,#N/A,FALSE,"suppdecsep98";#N/A,#N/A,FALSE,"w-dec98"}</definedName>
    <definedName name="ggf_5" hidden="1">{#N/A,#N/A,FALSE,"dec98qtr";#N/A,#N/A,FALSE,"suppdecsep98";#N/A,#N/A,FALSE,"w-dec98"}</definedName>
    <definedName name="GGG">#REF!</definedName>
    <definedName name="ggggggggg" localSheetId="0" hidden="1">#REF!</definedName>
    <definedName name="ggggggggg" hidden="1">#REF!</definedName>
    <definedName name="GH_1_2" hidden="1">{"MSS",#N/A,FALSE,"MSS";"ProdSA",#N/A,FALSE,"ProdSA";"Sales 1",#N/A,FALSE,"SALES";"Transfer 1",#N/A,FALSE,"TRANSFERS"}</definedName>
    <definedName name="GH_1_3" hidden="1">{"MSS",#N/A,FALSE,"MSS";"ProdSA",#N/A,FALSE,"ProdSA";"Sales 1",#N/A,FALSE,"SALES";"Transfer 1",#N/A,FALSE,"TRANSFERS"}</definedName>
    <definedName name="GH_1_4" hidden="1">{"MSS",#N/A,FALSE,"MSS";"ProdSA",#N/A,FALSE,"ProdSA";"Sales 1",#N/A,FALSE,"SALES";"Transfer 1",#N/A,FALSE,"TRANSFERS"}</definedName>
    <definedName name="GH_1_5" hidden="1">{"MSS",#N/A,FALSE,"MSS";"ProdSA",#N/A,FALSE,"ProdSA";"Sales 1",#N/A,FALSE,"SALES";"Transfer 1",#N/A,FALSE,"TRANSFERS"}</definedName>
    <definedName name="GH_2" hidden="1">{"MSS",#N/A,FALSE,"MSS";"ProdSA",#N/A,FALSE,"ProdSA";"Sales 1",#N/A,FALSE,"SALES";"Transfer 1",#N/A,FALSE,"TRANSFERS"}</definedName>
    <definedName name="GH_3" hidden="1">{"MSS",#N/A,FALSE,"MSS";"ProdSA",#N/A,FALSE,"ProdSA";"Sales 1",#N/A,FALSE,"SALES";"Transfer 1",#N/A,FALSE,"TRANSFERS"}</definedName>
    <definedName name="GH_4" hidden="1">{"MSS",#N/A,FALSE,"MSS";"ProdSA",#N/A,FALSE,"ProdSA";"Sales 1",#N/A,FALSE,"SALES";"Transfer 1",#N/A,FALSE,"TRANSFERS"}</definedName>
    <definedName name="GH_5" hidden="1">{"MSS",#N/A,FALSE,"MSS";"ProdSA",#N/A,FALSE,"ProdSA";"Sales 1",#N/A,FALSE,"SALES";"Transfer 1",#N/A,FALSE,"TRANSFERS"}</definedName>
    <definedName name="ghgh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j" localSheetId="0" hidden="1">{"Sales 2",#N/A,FALSE,"SALES";"Transfer 2",#N/A,FALSE,"TRANSFERS";"A1460",#N/A,FALSE,"A1460"}</definedName>
    <definedName name="ghj" hidden="1">{"Sales 2",#N/A,FALSE,"SALES";"Transfer 2",#N/A,FALSE,"TRANSFERS";"A1460",#N/A,FALSE,"A1460"}</definedName>
    <definedName name="ghj_1_2" hidden="1">{"Sales 2",#N/A,FALSE,"SALES";"Transfer 2",#N/A,FALSE,"TRANSFERS";"A1460",#N/A,FALSE,"A1460"}</definedName>
    <definedName name="ghj_1_3" hidden="1">{"Sales 2",#N/A,FALSE,"SALES";"Transfer 2",#N/A,FALSE,"TRANSFERS";"A1460",#N/A,FALSE,"A1460"}</definedName>
    <definedName name="ghj_1_4" hidden="1">{"Sales 2",#N/A,FALSE,"SALES";"Transfer 2",#N/A,FALSE,"TRANSFERS";"A1460",#N/A,FALSE,"A1460"}</definedName>
    <definedName name="ghj_1_5" hidden="1">{"Sales 2",#N/A,FALSE,"SALES";"Transfer 2",#N/A,FALSE,"TRANSFERS";"A1460",#N/A,FALSE,"A1460"}</definedName>
    <definedName name="ghj_2" hidden="1">{"Sales 2",#N/A,FALSE,"SALES";"Transfer 2",#N/A,FALSE,"TRANSFERS";"A1460",#N/A,FALSE,"A1460"}</definedName>
    <definedName name="ghj_3" hidden="1">{"Sales 2",#N/A,FALSE,"SALES";"Transfer 2",#N/A,FALSE,"TRANSFERS";"A1460",#N/A,FALSE,"A1460"}</definedName>
    <definedName name="ghj_4" hidden="1">{"Sales 2",#N/A,FALSE,"SALES";"Transfer 2",#N/A,FALSE,"TRANSFERS";"A1460",#N/A,FALSE,"A1460"}</definedName>
    <definedName name="ghj_5" hidden="1">{"Sales 2",#N/A,FALSE,"SALES";"Transfer 2",#N/A,FALSE,"TRANSFERS";"A1460",#N/A,FALSE,"A1460"}</definedName>
    <definedName name="ghtyi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ty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INCOME">#REF!</definedName>
    <definedName name="GINPUT">#REF!</definedName>
    <definedName name="GK_RESULTS">#REF!</definedName>
    <definedName name="GL" localSheetId="0" hidden="1">{"'CALL MONEY'!$K$53"}</definedName>
    <definedName name="GL" hidden="1">{"'CALL MONEY'!$K$53"}</definedName>
    <definedName name="GMT">#REF!</definedName>
    <definedName name="GNOPLAT">#REF!</definedName>
    <definedName name="GOPERATING">#REF!</definedName>
    <definedName name="GOT">#REF!</definedName>
    <definedName name="GREEN">#REF!</definedName>
    <definedName name="GrossProfit">#REF!</definedName>
    <definedName name="GroupMonth">#REF!</definedName>
    <definedName name="GSUP_CALC">#REF!</definedName>
    <definedName name="GT">#REF!</definedName>
    <definedName name="gtry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">#REF!</definedName>
    <definedName name="GUB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idance" hidden="1">{#N/A,#N/A,TRUE,"R-3";#N/A,#N/A,TRUE,"R-3";#N/A,#N/A,TRUE,"R-3"}</definedName>
    <definedName name="gut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V">#REF!</definedName>
    <definedName name="GVALUE">#REF!</definedName>
    <definedName name="GW">#REF!</definedName>
    <definedName name="GWDP">#REF!</definedName>
    <definedName name="GWPChemical">#REF!</definedName>
    <definedName name="GWPCuttoShip">#REF!</definedName>
    <definedName name="GX">#REF!</definedName>
    <definedName name="gytu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Z">#REF!</definedName>
    <definedName name="h">#REF!</definedName>
    <definedName name="H_INCOME">#REF!</definedName>
    <definedName name="h15o91">#REF!</definedName>
    <definedName name="H1E10">#REF!</definedName>
    <definedName name="H1E9">#REF!</definedName>
    <definedName name="haa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a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xhhjc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xhhj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BALANCE">#REF!</definedName>
    <definedName name="HCAP_INVEST">#REF!</definedName>
    <definedName name="Header_Row">ROW(#REF!)</definedName>
    <definedName name="hfh" localSheetId="0" hidden="1">{#N/A,#N/A,FALSE,"dec98qtr";#N/A,#N/A,FALSE,"suppdecsep98";#N/A,#N/A,FALSE,"w-dec98"}</definedName>
    <definedName name="hfh" hidden="1">{#N/A,#N/A,FALSE,"dec98qtr";#N/A,#N/A,FALSE,"suppdecsep98";#N/A,#N/A,FALSE,"w-dec98"}</definedName>
    <definedName name="hfh_1_2" hidden="1">{#N/A,#N/A,FALSE,"dec98qtr";#N/A,#N/A,FALSE,"suppdecsep98";#N/A,#N/A,FALSE,"w-dec98"}</definedName>
    <definedName name="hfh_1_3" hidden="1">{#N/A,#N/A,FALSE,"dec98qtr";#N/A,#N/A,FALSE,"suppdecsep98";#N/A,#N/A,FALSE,"w-dec98"}</definedName>
    <definedName name="hfh_1_4" hidden="1">{#N/A,#N/A,FALSE,"dec98qtr";#N/A,#N/A,FALSE,"suppdecsep98";#N/A,#N/A,FALSE,"w-dec98"}</definedName>
    <definedName name="hfh_1_5" hidden="1">{#N/A,#N/A,FALSE,"dec98qtr";#N/A,#N/A,FALSE,"suppdecsep98";#N/A,#N/A,FALSE,"w-dec98"}</definedName>
    <definedName name="hfh_2" hidden="1">{#N/A,#N/A,FALSE,"dec98qtr";#N/A,#N/A,FALSE,"suppdecsep98";#N/A,#N/A,FALSE,"w-dec98"}</definedName>
    <definedName name="hfh_3" hidden="1">{#N/A,#N/A,FALSE,"dec98qtr";#N/A,#N/A,FALSE,"suppdecsep98";#N/A,#N/A,FALSE,"w-dec98"}</definedName>
    <definedName name="hfh_4" hidden="1">{#N/A,#N/A,FALSE,"dec98qtr";#N/A,#N/A,FALSE,"suppdecsep98";#N/A,#N/A,FALSE,"w-dec98"}</definedName>
    <definedName name="hfh_5" hidden="1">{#N/A,#N/A,FALSE,"dec98qtr";#N/A,#N/A,FALSE,"suppdecsep98";#N/A,#N/A,FALSE,"w-dec98"}</definedName>
    <definedName name="HFINANCE">#REF!</definedName>
    <definedName name="HFREE_CASH">#REF!</definedName>
    <definedName name="hgfasd">#REF!</definedName>
    <definedName name="hgfdg">#REF!</definedName>
    <definedName name="hgg" localSheetId="0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gg_1_2" hidden="1">{"Sales 2",#N/A,FALSE,"SALES";"Transfer 2",#N/A,FALSE,"TRANSFERS";"A1460",#N/A,FALSE,"A1460"}</definedName>
    <definedName name="hgg_1_3" hidden="1">{"Sales 2",#N/A,FALSE,"SALES";"Transfer 2",#N/A,FALSE,"TRANSFERS";"A1460",#N/A,FALSE,"A1460"}</definedName>
    <definedName name="hgg_1_4" hidden="1">{"Sales 2",#N/A,FALSE,"SALES";"Transfer 2",#N/A,FALSE,"TRANSFERS";"A1460",#N/A,FALSE,"A1460"}</definedName>
    <definedName name="hgg_1_5" hidden="1">{"Sales 2",#N/A,FALSE,"SALES";"Transfer 2",#N/A,FALSE,"TRANSFERS";"A1460",#N/A,FALSE,"A1460"}</definedName>
    <definedName name="hgg_2" hidden="1">{"Sales 2",#N/A,FALSE,"SALES";"Transfer 2",#N/A,FALSE,"TRANSFERS";"A1460",#N/A,FALSE,"A1460"}</definedName>
    <definedName name="hgg_3" hidden="1">{"Sales 2",#N/A,FALSE,"SALES";"Transfer 2",#N/A,FALSE,"TRANSFERS";"A1460",#N/A,FALSE,"A1460"}</definedName>
    <definedName name="hgg_4" hidden="1">{"Sales 2",#N/A,FALSE,"SALES";"Transfer 2",#N/A,FALSE,"TRANSFERS";"A1460",#N/A,FALSE,"A1460"}</definedName>
    <definedName name="hgg_5" hidden="1">{"Sales 2",#N/A,FALSE,"SALES";"Transfer 2",#N/A,FALSE,"TRANSFERS";"A1460",#N/A,FALSE,"A1460"}</definedName>
    <definedName name="HGHG" localSheetId="0" hidden="1">{#N/A,#N/A,FALSE,"NET SALES ";#N/A,#N/A,FALSE,"QUARTERLY SALES"}</definedName>
    <definedName name="HGHG" hidden="1">{#N/A,#N/A,FALSE,"NET SALES ";#N/A,#N/A,FALSE,"QUARTERLY SALES"}</definedName>
    <definedName name="hgtyy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gtyy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H">#REF!</definedName>
    <definedName name="High_Unit_Volume_Tested">#REF!</definedName>
    <definedName name="HIST_ALL">#REF!</definedName>
    <definedName name="hjk" localSheetId="0" hidden="1">{"MSS",#N/A,FALSE,"MSS";"ProdSA",#N/A,FALSE,"ProdSA";"Sales 1",#N/A,FALSE,"SALES";"Transfer 1",#N/A,FALSE,"TRANSFERS"}</definedName>
    <definedName name="hjk" hidden="1">{"MSS",#N/A,FALSE,"MSS";"ProdSA",#N/A,FALSE,"ProdSA";"Sales 1",#N/A,FALSE,"SALES";"Transfer 1",#N/A,FALSE,"TRANSFERS"}</definedName>
    <definedName name="HK_RESULT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OPLAT">#REF!</definedName>
    <definedName name="HO">#REF!</definedName>
    <definedName name="ho59w10">#REF!</definedName>
    <definedName name="holdco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oldco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OPERATING">#REF!</definedName>
    <definedName name="HRML_Control5" localSheetId="0" hidden="1">{"'Sheet1'!$A$1:$N$196"}</definedName>
    <definedName name="HRML_Control5" hidden="1">{"'Sheet1'!$A$1:$N$196"}</definedName>
    <definedName name="HSUP_CALC">#REF!</definedName>
    <definedName name="html" localSheetId="0" hidden="1">{"'CALL MONEY'!$K$53"}</definedName>
    <definedName name="html" hidden="1">{"'CALL MONEY'!$K$53"}</definedName>
    <definedName name="html_cntrl" localSheetId="0" hidden="1">{"'CALL MONEY'!$K$53"}</definedName>
    <definedName name="html_cntrl" hidden="1">{"'CALL MONEY'!$K$53"}</definedName>
    <definedName name="html_cntrl465454" localSheetId="0" hidden="1">{"'CALL MONEY'!$K$53"}</definedName>
    <definedName name="html_cntrl465454" hidden="1">{"'CALL MONEY'!$K$53"}</definedName>
    <definedName name="HTML_CodePage" hidden="1">1252</definedName>
    <definedName name="HTML_Control" localSheetId="0" hidden="1">{"'CALL MONEY'!$K$53"}</definedName>
    <definedName name="HTML_Control" hidden="1">{"'Leverage'!$B$2:$M$418"}</definedName>
    <definedName name="HTML_Control1" localSheetId="0" hidden="1">{"'Sheet1'!$A$1:$N$196"}</definedName>
    <definedName name="HTML_Control1" hidden="1">{"'Sheet1'!$A$1:$N$196"}</definedName>
    <definedName name="HTML_Control2" localSheetId="0" hidden="1">{"'Sheet1'!$A$1:$N$196"}</definedName>
    <definedName name="HTML_Control2" hidden="1">{"'Sheet1'!$A$1:$N$196"}</definedName>
    <definedName name="HTML_Control3" localSheetId="0" hidden="1">{"'Sheet1'!$A$1:$N$196"}</definedName>
    <definedName name="HTML_Control3" hidden="1">{"'Sheet1'!$A$1:$N$196"}</definedName>
    <definedName name="HTML_Control4" localSheetId="0" hidden="1">{"'Sheet1'!$A$1:$N$196"}</definedName>
    <definedName name="HTML_Control4" hidden="1">{"'Sheet1'!$A$1:$N$196"}</definedName>
    <definedName name="HTML_Control6" localSheetId="0" hidden="1">{"'Sheet1'!$A$1:$N$196"}</definedName>
    <definedName name="HTML_Control6" hidden="1">{"'Sheet1'!$A$1:$N$196"}</definedName>
    <definedName name="HTML_Control7" localSheetId="0" hidden="1">{"'Sheet1'!$A$1:$N$196"}</definedName>
    <definedName name="HTML_Control7" hidden="1">{"'Sheet1'!$A$1:$N$196"}</definedName>
    <definedName name="html_ctl78" localSheetId="0" hidden="1">{"'CALL MONEY'!$K$53"}</definedName>
    <definedName name="html_ctl78" hidden="1">{"'CALL MONEY'!$K$53"}</definedName>
    <definedName name="HTML_Description" hidden="1">""</definedName>
    <definedName name="HTML_Email" hidden="1">""</definedName>
    <definedName name="HTML_Header" localSheetId="0" hidden="1">"CALL MONEY"</definedName>
    <definedName name="HTML_Header" hidden="1">"Leverage"</definedName>
    <definedName name="HTML_LastUpdate" localSheetId="0" hidden="1">"27/11/02"</definedName>
    <definedName name="HTML_LastUpdate" hidden="1">"8/21/00"</definedName>
    <definedName name="HTML_LineAfter" hidden="1">FALSE</definedName>
    <definedName name="HTML_LineBefore" hidden="1">FALSE</definedName>
    <definedName name="HTML_Name" localSheetId="0" hidden="1">"Sana"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Documents\MyHTML.htm"</definedName>
    <definedName name="HTML_PathFile" hidden="1">"C:\my documents\lever.htm"</definedName>
    <definedName name="HTML_Title" localSheetId="0" hidden="1">"HOLDING 27-11-2002"</definedName>
    <definedName name="HTML_Title" hidden="1">"leverage"</definedName>
    <definedName name="HTML1_1" hidden="1">"'[BSC-MTX Tool 4.04.02.xls]Materials List'!$A$1:$E$72"</definedName>
    <definedName name="HTML1_10" hidden="1">""</definedName>
    <definedName name="HTML1_11" hidden="1">1</definedName>
    <definedName name="HTML1_12" hidden="1">"C:\WINDOWS\DESKTOP\dallas.htm"</definedName>
    <definedName name="HTML1_2" hidden="1">1</definedName>
    <definedName name="HTML1_3" hidden="1">"BSC-MTX Equipment"</definedName>
    <definedName name="HTML1_4" hidden="1">"Materials List - Dallas Switch"</definedName>
    <definedName name="HTML1_5" hidden="1">""</definedName>
    <definedName name="HTML1_6" hidden="1">1</definedName>
    <definedName name="HTML1_7" hidden="1">1</definedName>
    <definedName name="HTML1_8" hidden="1">"2/10/97"</definedName>
    <definedName name="HTML1_9" hidden="1">"Nortel - CDMA Network Planning"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6</definedName>
    <definedName name="htyre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re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u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i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i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ui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u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man_Capital_Income_Statement">#REF!</definedName>
    <definedName name="Human_Capital_Return_On_Investment">#REF!</definedName>
    <definedName name="huyit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7t" localSheetId="0" hidden="1">{#N/A,#N/A,FALSE,"dec98qtr";#N/A,#N/A,FALSE,"suppdecsep98";#N/A,#N/A,FALSE,"w-dec98"}</definedName>
    <definedName name="hy7t" hidden="1">{#N/A,#N/A,FALSE,"dec98qtr";#N/A,#N/A,FALSE,"suppdecsep98";#N/A,#N/A,FALSE,"w-dec98"}</definedName>
    <definedName name="hyuityu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ityu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tih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ti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">#REF!</definedName>
    <definedName name="I10K2">#REF!</definedName>
    <definedName name="I15P1">#REF!</definedName>
    <definedName name="I15P2">#REF!</definedName>
    <definedName name="I15V10">#REF!</definedName>
    <definedName name="i45r8">#REF!</definedName>
    <definedName name="I8O9">#REF!</definedName>
    <definedName name="i9w56">#REF!</definedName>
    <definedName name="IAB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A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C">#REF!</definedName>
    <definedName name="i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i11f59">#REF!</definedName>
    <definedName name="iii" localSheetId="0" hidden="1">{"'Sheet1'!$A$1:$N$196"}</definedName>
    <definedName name="iii" hidden="1">{"'Sheet1'!$A$1:$N$196"}</definedName>
    <definedName name="iiiiiii" localSheetId="0" hidden="1">{"'Sheet1'!$A$1:$N$196"}</definedName>
    <definedName name="iiiiiii" hidden="1">{"'Sheet1'!$A$1:$N$196"}</definedName>
    <definedName name="iiiiiiiiiiii" localSheetId="0" hidden="1">{"'Sheet1'!$A$1:$N$196"}</definedName>
    <definedName name="iiiiiiiiiiii" hidden="1">{"'Sheet1'!$A$1:$N$196"}</definedName>
    <definedName name="iiiiiiiiiiiiiii" localSheetId="0" hidden="1">{"'Sheet1'!$A$1:$N$196"}</definedName>
    <definedName name="iiiiiiiiiiiiiii" hidden="1">{"'Sheet1'!$A$1:$N$196"}</definedName>
    <definedName name="iiiiiiiiiiiiiiiiiiiiii" localSheetId="0" hidden="1">{"'Sheet1'!$A$1:$N$196"}</definedName>
    <definedName name="iiiiiiiiiiiiiiiiiiiiii" hidden="1">{"'Sheet1'!$A$1:$N$196"}</definedName>
    <definedName name="iiiiiiiiiiiiiiiiiiiiiiiiiiii" localSheetId="0" hidden="1">{"'Sheet1'!$A$1:$N$196"}</definedName>
    <definedName name="iiiiiiiiiiiiiiiiiiiiiiiiiiii" hidden="1">{"'Sheet1'!$A$1:$N$196"}</definedName>
    <definedName name="iiiiiiiiiiiiiiiiiiiiiiiiiiiiii" localSheetId="0" hidden="1">{"'Sheet1'!$A$1:$N$196"}</definedName>
    <definedName name="iiiiiiiiiiiiiiiiiiiiiiiiiiiiii" hidden="1">{"'Sheet1'!$A$1:$N$196"}</definedName>
    <definedName name="iiiiiiiiiiiiiiiiiiiiiiiiiiiiiiii" localSheetId="0" hidden="1">{"'Sheet1'!$A$1:$N$196"}</definedName>
    <definedName name="iiiiiiiiiiiiiiiiiiiiiiiiiiiiiiii" hidden="1">{"'Sheet1'!$A$1:$N$196"}</definedName>
    <definedName name="ikl" localSheetId="0" hidden="1">{#N/A,#N/A,FALSE,"dec98qtr";#N/A,#N/A,FALSE,"suppdecsep98";#N/A,#N/A,FALSE,"w-dec98"}</definedName>
    <definedName name="ikl" hidden="1">{#N/A,#N/A,FALSE,"dec98qtr";#N/A,#N/A,FALSE,"suppdecsep98";#N/A,#N/A,FALSE,"w-dec98"}</definedName>
    <definedName name="IMDData">#REF!</definedName>
    <definedName name="imran" localSheetId="0" hidden="1">#REF!</definedName>
    <definedName name="imran" hidden="1">#REF!</definedName>
    <definedName name="INCOME">#REF!</definedName>
    <definedName name="INCREASED">#REF!</definedName>
    <definedName name="Increments">5</definedName>
    <definedName name="INETOTHER">#REF!</definedName>
    <definedName name="INETPPE">#REF!</definedName>
    <definedName name="InitCalcStatus">-4135</definedName>
    <definedName name="inputs" localSheetId="0" hidden="1">{"Inputs 1","Base",FALSE,"INPUTS";"Inputs 2","Base",FALSE,"INPUTS";"Inputs 3","Base",FALSE,"INPUTS";"Inputs 4","Base",FALSE,"INPUTS";"Inputs 5","Base",FALSE,"INPUTS"}</definedName>
    <definedName name="inputs" hidden="1">{"Inputs 1","Base",FALSE,"INPUTS";"Inputs 2","Base",FALSE,"INPUTS";"Inputs 3","Base",FALSE,"INPUTS";"Inputs 4","Base",FALSE,"INPUTS";"Inputs 5","Base",FALSE,"INPUTS"}</definedName>
    <definedName name="Int">#REF!</definedName>
    <definedName name="Intangible_Benefits_Summary">#REF!</definedName>
    <definedName name="Interest">#REF!</definedName>
    <definedName name="Interest_Rate">#REF!</definedName>
    <definedName name="Interval" hidden="1">#REF!</definedName>
    <definedName name="IntroPrintArea" localSheetId="0" hidden="1">#REF!</definedName>
    <definedName name="IntroPrintArea" hidden="1">#REF!</definedName>
    <definedName name="INVEST">#REF!</definedName>
    <definedName name="Iota">#REF!</definedName>
    <definedName name="Ip83cq53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MEDIAN_EST" hidden="1">"c1661"</definedName>
    <definedName name="IQ_EPS_NORM" hidden="1">"c1902"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39994.8374768519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sColHidden" hidden="1">FALSE</definedName>
    <definedName name="IsLTMColHidden" hidden="1">FALSE</definedName>
    <definedName name="it56v23">#REF!</definedName>
    <definedName name="ITREE">#REF!</definedName>
    <definedName name="iuy" localSheetId="0" hidden="1">{#N/A,#N/A,FALSE,"dec98qtr";#N/A,#N/A,FALSE,"suppdecsep98";#N/A,#N/A,FALSE,"w-dec98"}</definedName>
    <definedName name="iuy" hidden="1">{#N/A,#N/A,FALSE,"dec98qtr";#N/A,#N/A,FALSE,"suppdecsep98";#N/A,#N/A,FALSE,"w-dec98"}</definedName>
    <definedName name="IWORKING">#REF!</definedName>
    <definedName name="iykt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kt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ut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u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">#REF!</definedName>
    <definedName name="j15i21">#REF!</definedName>
    <definedName name="J31065298">#REF!</definedName>
    <definedName name="J62g4">#REF!</definedName>
    <definedName name="J63I13">#REF!</definedName>
    <definedName name="JAMI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AMI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an">#REF!</definedName>
    <definedName name="javed">#REF!</definedName>
    <definedName name="jd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eans">#REF!</definedName>
    <definedName name="J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t" localSheetId="0" hidden="1">{#N/A,#N/A,FALSE,"dec98qtr";#N/A,#N/A,FALSE,"suppdecsep98";#N/A,#N/A,FALSE,"w-dec98"}</definedName>
    <definedName name="jft" hidden="1">{#N/A,#N/A,FALSE,"dec98qtr";#N/A,#N/A,FALSE,"suppdecsep98";#N/A,#N/A,FALSE,"w-dec98"}</definedName>
    <definedName name="jh" localSheetId="0" hidden="1">{"EVA",#N/A,FALSE,"EVA";"WACC",#N/A,FALSE,"WACC"}</definedName>
    <definedName name="jh" hidden="1">{"EVA",#N/A,FALSE,"EVA";"WACC",#N/A,FALSE,"WACC"}</definedName>
    <definedName name="jhag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hag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hg" localSheetId="0" hidden="1">{"Sales 2",#N/A,FALSE,"SALES";"Transfer 2",#N/A,FALSE,"TRANSFERS";"A1460",#N/A,FALSE,"A1460"}</definedName>
    <definedName name="jhg" hidden="1">{"Sales 2",#N/A,FALSE,"SALES";"Transfer 2",#N/A,FALSE,"TRANSFERS";"A1460",#N/A,FALSE,"A1460"}</definedName>
    <definedName name="JJJ">#REF!</definedName>
    <definedName name="jjjj" localSheetId="0" hidden="1">{"Sales 2",#N/A,FALSE,"SALES";"Transfer 2",#N/A,FALSE,"TRANSFERS";"A1460",#N/A,FALSE,"A1460"}</definedName>
    <definedName name="jjjj" hidden="1">{"Sales 2",#N/A,FALSE,"SALES";"Transfer 2",#N/A,FALSE,"TRANSFERS";"A1460",#N/A,FALSE,"A1460"}</definedName>
    <definedName name="jjjkjjdws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jjkjjdws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kj" localSheetId="0" hidden="1">{"mult96",#N/A,FALSE,"PETCOMP";"est96",#N/A,FALSE,"PETCOMP";"mult95",#N/A,FALSE,"PETCOMP";"est95",#N/A,FALSE,"PETCOMP";"multltm",#N/A,FALSE,"PETCOMP";"resultltm",#N/A,FALSE,"PETCOMP"}</definedName>
    <definedName name="jkj" hidden="1">{"mult96",#N/A,FALSE,"PETCOMP";"est96",#N/A,FALSE,"PETCOMP";"mult95",#N/A,FALSE,"PETCOMP";"est95",#N/A,FALSE,"PETCOMP";"multltm",#N/A,FALSE,"PETCOMP";"resultltm",#N/A,FALSE,"PETCOMP"}</definedName>
    <definedName name="jkjk" localSheetId="0" hidden="1">{"MSS",#N/A,FALSE,"MSS";"ProdSA",#N/A,FALSE,"ProdSA";"Sales 1",#N/A,FALSE,"SALES";"Transfer 1",#N/A,FALSE,"TRANSFERS"}</definedName>
    <definedName name="jkjk" hidden="1">{"MSS",#N/A,FALSE,"MSS";"ProdSA",#N/A,FALSE,"ProdSA";"Sales 1",#N/A,FALSE,"SALES";"Transfer 1",#N/A,FALSE,"TRANSFERS"}</definedName>
    <definedName name="jkjk_1_2" hidden="1">{"MSS",#N/A,FALSE,"MSS";"ProdSA",#N/A,FALSE,"ProdSA";"Sales 1",#N/A,FALSE,"SALES";"Transfer 1",#N/A,FALSE,"TRANSFERS"}</definedName>
    <definedName name="jkjk_1_3" hidden="1">{"MSS",#N/A,FALSE,"MSS";"ProdSA",#N/A,FALSE,"ProdSA";"Sales 1",#N/A,FALSE,"SALES";"Transfer 1",#N/A,FALSE,"TRANSFERS"}</definedName>
    <definedName name="jkjk_1_4" hidden="1">{"MSS",#N/A,FALSE,"MSS";"ProdSA",#N/A,FALSE,"ProdSA";"Sales 1",#N/A,FALSE,"SALES";"Transfer 1",#N/A,FALSE,"TRANSFERS"}</definedName>
    <definedName name="jkjk_1_5" hidden="1">{"MSS",#N/A,FALSE,"MSS";"ProdSA",#N/A,FALSE,"ProdSA";"Sales 1",#N/A,FALSE,"SALES";"Transfer 1",#N/A,FALSE,"TRANSFERS"}</definedName>
    <definedName name="jkjk_2" hidden="1">{"MSS",#N/A,FALSE,"MSS";"ProdSA",#N/A,FALSE,"ProdSA";"Sales 1",#N/A,FALSE,"SALES";"Transfer 1",#N/A,FALSE,"TRANSFERS"}</definedName>
    <definedName name="jkjk_3" hidden="1">{"MSS",#N/A,FALSE,"MSS";"ProdSA",#N/A,FALSE,"ProdSA";"Sales 1",#N/A,FALSE,"SALES";"Transfer 1",#N/A,FALSE,"TRANSFERS"}</definedName>
    <definedName name="jkjk_4" hidden="1">{"MSS",#N/A,FALSE,"MSS";"ProdSA",#N/A,FALSE,"ProdSA";"Sales 1",#N/A,FALSE,"SALES";"Transfer 1",#N/A,FALSE,"TRANSFERS"}</definedName>
    <definedName name="jkjk_5" hidden="1">{"MSS",#N/A,FALSE,"MSS";"ProdSA",#N/A,FALSE,"ProdSA";"Sales 1",#N/A,FALSE,"SALES";"Transfer 1",#N/A,FALSE,"TRANSFERS"}</definedName>
    <definedName name="jkl" localSheetId="0" hidden="1">{#N/A,#N/A,FALSE,"dec98qtr";#N/A,#N/A,FALSE,"suppdecsep98";#N/A,#N/A,FALSE,"w-dec98"}</definedName>
    <definedName name="jkl" hidden="1">{#N/A,#N/A,FALSE,"dec98qtr";#N/A,#N/A,FALSE,"suppdecsep98";#N/A,#N/A,FALSE,"w-dec98"}</definedName>
    <definedName name="jkl_1_2" hidden="1">{#N/A,#N/A,FALSE,"dec98qtr";#N/A,#N/A,FALSE,"suppdecsep98";#N/A,#N/A,FALSE,"w-dec98"}</definedName>
    <definedName name="jkl_1_3" hidden="1">{#N/A,#N/A,FALSE,"dec98qtr";#N/A,#N/A,FALSE,"suppdecsep98";#N/A,#N/A,FALSE,"w-dec98"}</definedName>
    <definedName name="jkl_1_4" hidden="1">{#N/A,#N/A,FALSE,"dec98qtr";#N/A,#N/A,FALSE,"suppdecsep98";#N/A,#N/A,FALSE,"w-dec98"}</definedName>
    <definedName name="jkl_1_5" hidden="1">{#N/A,#N/A,FALSE,"dec98qtr";#N/A,#N/A,FALSE,"suppdecsep98";#N/A,#N/A,FALSE,"w-dec98"}</definedName>
    <definedName name="jkl_2" hidden="1">{#N/A,#N/A,FALSE,"dec98qtr";#N/A,#N/A,FALSE,"suppdecsep98";#N/A,#N/A,FALSE,"w-dec98"}</definedName>
    <definedName name="jkl_3" hidden="1">{#N/A,#N/A,FALSE,"dec98qtr";#N/A,#N/A,FALSE,"suppdecsep98";#N/A,#N/A,FALSE,"w-dec98"}</definedName>
    <definedName name="jkl_4" hidden="1">{#N/A,#N/A,FALSE,"dec98qtr";#N/A,#N/A,FALSE,"suppdecsep98";#N/A,#N/A,FALSE,"w-dec98"}</definedName>
    <definedName name="jkl_5" hidden="1">{#N/A,#N/A,FALSE,"dec98qtr";#N/A,#N/A,FALSE,"suppdecsep98";#N/A,#N/A,FALSE,"w-dec98"}</definedName>
    <definedName name="jkljh" localSheetId="0" hidden="1">#REF!</definedName>
    <definedName name="jkljh" hidden="1">#REF!</definedName>
    <definedName name="J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ljkl" hidden="1">#REF!</definedName>
    <definedName name="jm" localSheetId="0" hidden="1">{#N/A,#N/A,FALSE,"dec98qtr";#N/A,#N/A,FALSE,"suppdecsep98";#N/A,#N/A,FALSE,"w-dec98"}</definedName>
    <definedName name="jm" hidden="1">{#N/A,#N/A,FALSE,"dec98qtr";#N/A,#N/A,FALSE,"suppdecsep98";#N/A,#N/A,FALSE,"w-dec98"}</definedName>
    <definedName name="JO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C">#REF!</definedName>
    <definedName name="JOC_Summary">#REF!</definedName>
    <definedName name="jocacc">#REF!</definedName>
    <definedName name="JOCAUG">#REF!</definedName>
    <definedName name="jqhewhqe" localSheetId="0" hidden="1">{"MSS",#N/A,FALSE,"MSS";"ProdSA",#N/A,FALSE,"ProdSA";"Sales 1",#N/A,FALSE,"SALES";"Transfer 1",#N/A,FALSE,"TRANSFERS"}</definedName>
    <definedName name="jqhewhqe" hidden="1">{"MSS",#N/A,FALSE,"MSS";"ProdSA",#N/A,FALSE,"ProdSA";"Sales 1",#N/A,FALSE,"SALES";"Transfer 1",#N/A,FALSE,"TRANSFERS"}</definedName>
    <definedName name="jqhewhqe_1_2" hidden="1">{"MSS",#N/A,FALSE,"MSS";"ProdSA",#N/A,FALSE,"ProdSA";"Sales 1",#N/A,FALSE,"SALES";"Transfer 1",#N/A,FALSE,"TRANSFERS"}</definedName>
    <definedName name="jqhewhqe_1_3" hidden="1">{"MSS",#N/A,FALSE,"MSS";"ProdSA",#N/A,FALSE,"ProdSA";"Sales 1",#N/A,FALSE,"SALES";"Transfer 1",#N/A,FALSE,"TRANSFERS"}</definedName>
    <definedName name="jqhewhqe_1_4" hidden="1">{"MSS",#N/A,FALSE,"MSS";"ProdSA",#N/A,FALSE,"ProdSA";"Sales 1",#N/A,FALSE,"SALES";"Transfer 1",#N/A,FALSE,"TRANSFERS"}</definedName>
    <definedName name="jqhewhqe_1_5" hidden="1">{"MSS",#N/A,FALSE,"MSS";"ProdSA",#N/A,FALSE,"ProdSA";"Sales 1",#N/A,FALSE,"SALES";"Transfer 1",#N/A,FALSE,"TRANSFERS"}</definedName>
    <definedName name="jqhewhqe_2" hidden="1">{"MSS",#N/A,FALSE,"MSS";"ProdSA",#N/A,FALSE,"ProdSA";"Sales 1",#N/A,FALSE,"SALES";"Transfer 1",#N/A,FALSE,"TRANSFERS"}</definedName>
    <definedName name="jqhewhqe_3" hidden="1">{"MSS",#N/A,FALSE,"MSS";"ProdSA",#N/A,FALSE,"ProdSA";"Sales 1",#N/A,FALSE,"SALES";"Transfer 1",#N/A,FALSE,"TRANSFERS"}</definedName>
    <definedName name="jqhewhqe_4" hidden="1">{"MSS",#N/A,FALSE,"MSS";"ProdSA",#N/A,FALSE,"ProdSA";"Sales 1",#N/A,FALSE,"SALES";"Transfer 1",#N/A,FALSE,"TRANSFERS"}</definedName>
    <definedName name="jqhewhqe_5" hidden="1">{"MSS",#N/A,FALSE,"MSS";"ProdSA",#N/A,FALSE,"ProdSA";"Sales 1",#N/A,FALSE,"SALES";"Transfer 1",#N/A,FALSE,"TRANSFERS"}</definedName>
    <definedName name="J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une09">#REF!</definedName>
    <definedName name="JuneJOC">#REF!</definedName>
    <definedName name="JuneRates">#REF!</definedName>
    <definedName name="jx23p96">#REF!</definedName>
    <definedName name="k">#REF!</definedName>
    <definedName name="K2_WBEVMODE" hidden="1">-1</definedName>
    <definedName name="K46K29">#REF!</definedName>
    <definedName name="kh">#REF!</definedName>
    <definedName name="khurram" localSheetId="0" hidden="1">{#N/A,#N/A,FALSE,"dec98qtr";#N/A,#N/A,FALSE,"suppdecsep98";#N/A,#N/A,FALSE,"w-dec98"}</definedName>
    <definedName name="khurram" hidden="1">{#N/A,#N/A,FALSE,"dec98qtr";#N/A,#N/A,FALSE,"suppdecsep98";#N/A,#N/A,FALSE,"w-dec98"}</definedName>
    <definedName name="KILL" localSheetId="0" hidden="1">#REF!</definedName>
    <definedName name="KILL" hidden="1">#REF!</definedName>
    <definedName name="kj" localSheetId="0" hidden="1">{"MSS",#N/A,FALSE,"MSS";"ProdSA",#N/A,FALSE,"ProdSA";"Sales 1",#N/A,FALSE,"SALES";"Transfer 1",#N/A,FALSE,"TRANSFERS"}</definedName>
    <definedName name="kj" hidden="1">{"MSS",#N/A,FALSE,"MSS";"ProdSA",#N/A,FALSE,"ProdSA";"Sales 1",#N/A,FALSE,"SALES";"Transfer 1",#N/A,FALSE,"TRANSFERS"}</definedName>
    <definedName name="kjash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f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f" localSheetId="0" hidden="1">{#N/A,#N/A,FALSE,"dec98qtr";#N/A,#N/A,FALSE,"suppdecsep98";#N/A,#N/A,FALSE,"w-dec98"}</definedName>
    <definedName name="kjf" hidden="1">{#N/A,#N/A,FALSE,"dec98qtr";#N/A,#N/A,FALSE,"suppdecsep98";#N/A,#N/A,FALSE,"w-dec98"}</definedName>
    <definedName name="kjh" localSheetId="0" hidden="1">{#N/A,#N/A,FALSE,"Aging Summary";#N/A,#N/A,FALSE,"Ratio Analysis";#N/A,#N/A,FALSE,"Test 120 Day Accts";#N/A,#N/A,FALSE,"Tickmarks"}</definedName>
    <definedName name="kjh" hidden="1">{#N/A,#N/A,FALSE,"Aging Summary";#N/A,#N/A,FALSE,"Ratio Analysis";#N/A,#N/A,FALSE,"Test 120 Day Accts";#N/A,#N/A,FALSE,"Tickmarks"}</definedName>
    <definedName name="kjjk" localSheetId="0" hidden="1">{#N/A,#N/A,FALSE,"dec98qtr";#N/A,#N/A,FALSE,"suppdecsep98";#N/A,#N/A,FALSE,"w-dec98"}</definedName>
    <definedName name="kjjk" hidden="1">{#N/A,#N/A,FALSE,"dec98qtr";#N/A,#N/A,FALSE,"suppdecsep98";#N/A,#N/A,FALSE,"w-dec98"}</definedName>
    <definedName name="kjjk_1_2" hidden="1">{#N/A,#N/A,FALSE,"dec98qtr";#N/A,#N/A,FALSE,"suppdecsep98";#N/A,#N/A,FALSE,"w-dec98"}</definedName>
    <definedName name="kjjk_1_3" hidden="1">{#N/A,#N/A,FALSE,"dec98qtr";#N/A,#N/A,FALSE,"suppdecsep98";#N/A,#N/A,FALSE,"w-dec98"}</definedName>
    <definedName name="kjjk_1_4" hidden="1">{#N/A,#N/A,FALSE,"dec98qtr";#N/A,#N/A,FALSE,"suppdecsep98";#N/A,#N/A,FALSE,"w-dec98"}</definedName>
    <definedName name="kjjk_1_5" hidden="1">{#N/A,#N/A,FALSE,"dec98qtr";#N/A,#N/A,FALSE,"suppdecsep98";#N/A,#N/A,FALSE,"w-dec98"}</definedName>
    <definedName name="kjjk_2" hidden="1">{#N/A,#N/A,FALSE,"dec98qtr";#N/A,#N/A,FALSE,"suppdecsep98";#N/A,#N/A,FALSE,"w-dec98"}</definedName>
    <definedName name="kjjk_3" hidden="1">{#N/A,#N/A,FALSE,"dec98qtr";#N/A,#N/A,FALSE,"suppdecsep98";#N/A,#N/A,FALSE,"w-dec98"}</definedName>
    <definedName name="kjjk_4" hidden="1">{#N/A,#N/A,FALSE,"dec98qtr";#N/A,#N/A,FALSE,"suppdecsep98";#N/A,#N/A,FALSE,"w-dec98"}</definedName>
    <definedName name="kjjk_5" hidden="1">{#N/A,#N/A,FALSE,"dec98qtr";#N/A,#N/A,FALSE,"suppdecsep98";#N/A,#N/A,FALSE,"w-dec98"}</definedName>
    <definedName name="kkk" localSheetId="0" hidden="1">{"'FF'!$B$57:$B$58"}</definedName>
    <definedName name="KKK">#REF!</definedName>
    <definedName name="kl" localSheetId="0" hidden="1">{"MSS",#N/A,FALSE,"MSS";"ProdSA",#N/A,FALSE,"ProdSA";"Sales 1",#N/A,FALSE,"SALES";"Transfer 1",#N/A,FALSE,"TRANSFERS"}</definedName>
    <definedName name="kl">#REF!</definedName>
    <definedName name="kl_1_2" hidden="1">{"MSS",#N/A,FALSE,"MSS";"ProdSA",#N/A,FALSE,"ProdSA";"Sales 1",#N/A,FALSE,"SALES";"Transfer 1",#N/A,FALSE,"TRANSFERS"}</definedName>
    <definedName name="kl_1_3" hidden="1">{"MSS",#N/A,FALSE,"MSS";"ProdSA",#N/A,FALSE,"ProdSA";"Sales 1",#N/A,FALSE,"SALES";"Transfer 1",#N/A,FALSE,"TRANSFERS"}</definedName>
    <definedName name="kl_1_4" hidden="1">{"MSS",#N/A,FALSE,"MSS";"ProdSA",#N/A,FALSE,"ProdSA";"Sales 1",#N/A,FALSE,"SALES";"Transfer 1",#N/A,FALSE,"TRANSFERS"}</definedName>
    <definedName name="kl_1_5" hidden="1">{"MSS",#N/A,FALSE,"MSS";"ProdSA",#N/A,FALSE,"ProdSA";"Sales 1",#N/A,FALSE,"SALES";"Transfer 1",#N/A,FALSE,"TRANSFERS"}</definedName>
    <definedName name="kl_2" hidden="1">{"MSS",#N/A,FALSE,"MSS";"ProdSA",#N/A,FALSE,"ProdSA";"Sales 1",#N/A,FALSE,"SALES";"Transfer 1",#N/A,FALSE,"TRANSFERS"}</definedName>
    <definedName name="kl_3" hidden="1">{"MSS",#N/A,FALSE,"MSS";"ProdSA",#N/A,FALSE,"ProdSA";"Sales 1",#N/A,FALSE,"SALES";"Transfer 1",#N/A,FALSE,"TRANSFERS"}</definedName>
    <definedName name="kl_4" hidden="1">{"MSS",#N/A,FALSE,"MSS";"ProdSA",#N/A,FALSE,"ProdSA";"Sales 1",#N/A,FALSE,"SALES";"Transfer 1",#N/A,FALSE,"TRANSFERS"}</definedName>
    <definedName name="kl_5" hidden="1">{"MSS",#N/A,FALSE,"MSS";"ProdSA",#N/A,FALSE,"ProdSA";"Sales 1",#N/A,FALSE,"SALES";"Transfer 1",#N/A,FALSE,"TRANSFERS"}</definedName>
    <definedName name="klk" localSheetId="0" hidden="1">{"Graphic",#N/A,TRUE,"Graphic"}</definedName>
    <definedName name="klk" hidden="1">{"Graphic",#N/A,TRUE,"Graphic"}</definedName>
    <definedName name="klo" localSheetId="0" hidden="1">{"Sales 2",#N/A,FALSE,"SALES";"Transfer 2",#N/A,FALSE,"TRANSFERS";"A1460",#N/A,FALSE,"A1460"}</definedName>
    <definedName name="klo" hidden="1">{"Sales 2",#N/A,FALSE,"SALES";"Transfer 2",#N/A,FALSE,"TRANSFERS";"A1460",#N/A,FALSE,"A1460"}</definedName>
    <definedName name="km" localSheetId="0" hidden="1">{#N/A,#N/A,FALSE,"dec98qtr";#N/A,#N/A,FALSE,"suppdecsep98";#N/A,#N/A,FALSE,"w-dec98"}</definedName>
    <definedName name="km" hidden="1">{#N/A,#N/A,FALSE,"dec98qtr";#N/A,#N/A,FALSE,"suppdecsep98";#N/A,#N/A,FALSE,"w-dec98"}</definedName>
    <definedName name="K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op" localSheetId="0" hidden="1">#REF!</definedName>
    <definedName name="kop" hidden="1">#REF!</definedName>
    <definedName name="ksjkldsklfk" localSheetId="0" hidden="1">{#N/A,#N/A,FALSE,"Income State.";#N/A,#N/A,FALSE,"B-S"}</definedName>
    <definedName name="ksjkldsklfk" hidden="1">{#N/A,#N/A,FALSE,"Income State.";#N/A,#N/A,FALSE,"B-S"}</definedName>
    <definedName name="L">#REF!</definedName>
    <definedName name="l5a3">#REF!</definedName>
    <definedName name="LA">#REF!</definedName>
    <definedName name="la6k7">#REF!</definedName>
    <definedName name="LabelsCost">#REF!</definedName>
    <definedName name="LabelsFinishing">#REF!</definedName>
    <definedName name="laila" localSheetId="0" hidden="1">{#N/A,#N/A,FALSE,"Tuition FEE"}</definedName>
    <definedName name="laila" hidden="1">{#N/A,#N/A,FALSE,"Tuition FEE"}</definedName>
    <definedName name="Last_Row">#N/A</definedName>
    <definedName name="LC">#REF!</definedName>
    <definedName name="LCA">#REF!</definedName>
    <definedName name="LCACMT">#REF!</definedName>
    <definedName name="LCAInhouse">#REF!</definedName>
    <definedName name="LCOW">#REF!</definedName>
    <definedName name="LEAD">#REF!</definedName>
    <definedName name="LeadTime">#REF!</definedName>
    <definedName name="LED">#REF!</definedName>
    <definedName name="LEE">#REF!</definedName>
    <definedName name="lhj" localSheetId="0" hidden="1">#REF!</definedName>
    <definedName name="lhj" hidden="1">#REF!</definedName>
    <definedName name="Liab.">#REF!</definedName>
    <definedName name="LIAB_PEN">#REF!</definedName>
    <definedName name="limcount" hidden="1">1</definedName>
    <definedName name="Lining">#REF!</definedName>
    <definedName name="Lining_Rates">#REF!</definedName>
    <definedName name="Lining_Status">#REF!</definedName>
    <definedName name="liningcmt">#REF!</definedName>
    <definedName name="LiningCost">#REF!</definedName>
    <definedName name="LiningCut">#REF!</definedName>
    <definedName name="LiningStock">#REF!</definedName>
    <definedName name="lk" localSheetId="0" hidden="1">{"Sales 2",#N/A,FALSE,"SALES";"Transfer 2",#N/A,FALSE,"TRANSFERS";"A1460",#N/A,FALSE,"A1460"}</definedName>
    <definedName name="lk" hidden="1">{"Sales 2",#N/A,FALSE,"SALES";"Transfer 2",#N/A,FALSE,"TRANSFERS";"A1460",#N/A,FALSE,"A1460"}</definedName>
    <definedName name="LL">#REF!</definedName>
    <definedName name="LLL">#REF!</definedName>
    <definedName name="Loan_Amount">#REF!</definedName>
    <definedName name="Loan_Start">#REF!</definedName>
    <definedName name="Loan_Years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lo" localSheetId="0" hidden="1">{"'Sheet1'!$A$1:$N$196"}</definedName>
    <definedName name="loolo" hidden="1">{"'Sheet1'!$A$1:$N$196"}</definedName>
    <definedName name="loom">#REF!</definedName>
    <definedName name="Losses" localSheetId="0" hidden="1">{"Deferred Fiscal",#N/A,FALSE,"Income"}</definedName>
    <definedName name="Losses" hidden="1">{"Deferred Fiscal",#N/A,FALSE,"Income"}</definedName>
    <definedName name="Low_Unit_Volume_Tested">#REF!</definedName>
    <definedName name="lp83cq51">#REF!</definedName>
    <definedName name="lr4bt2">#REF!</definedName>
    <definedName name="L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L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m">#REF!</definedName>
    <definedName name="M1N15">#REF!</definedName>
    <definedName name="Macro1">#N/A</definedName>
    <definedName name="Macro10">#REF!</definedName>
    <definedName name="Macro11">#REF!</definedName>
    <definedName name="Macro2">#N/A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IN">#REF!</definedName>
    <definedName name="MainStore">#REF!</definedName>
    <definedName name="Mall" localSheetId="0" hidden="1">#REF!</definedName>
    <definedName name="Mall" hidden="1">#REF!</definedName>
    <definedName name="MANUAL">#REF!</definedName>
    <definedName name="Mar">#REF!</definedName>
    <definedName name="MARGIN">#REF!</definedName>
    <definedName name="Marine" localSheetId="0" hidden="1">#REF!</definedName>
    <definedName name="Marine" hidden="1">#REF!</definedName>
    <definedName name="masterfile">#REF!</definedName>
    <definedName name="MasterSpinner2">#REF!</definedName>
    <definedName name="Materials">#REF!</definedName>
    <definedName name="Max">#REF!</definedName>
    <definedName name="MBASE">#REF!</definedName>
    <definedName name="MCASHTAX">#REF!</definedName>
    <definedName name="MCB__0629612">#REF!</definedName>
    <definedName name="MCOGS">#REF!</definedName>
    <definedName name="MCONSTANT">#REF!</definedName>
    <definedName name="MCOST_CAP">#REF!</definedName>
    <definedName name="MDATA_FILE">#REF!</definedName>
    <definedName name="MDE1DATA">#REF!</definedName>
    <definedName name="MDE1DATAZERO">#REF!</definedName>
    <definedName name="MDEPRECIATION">#REF!</definedName>
    <definedName name="mdmsd" localSheetId="0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mdmsd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MEAN">#REF!</definedName>
    <definedName name="MerrillPrintIt" localSheetId="0" hidden="1">#REF!</definedName>
    <definedName name="MerrillPrintIt" hidden="1">#REF!</definedName>
    <definedName name="MFC">#REF!</definedName>
    <definedName name="MFORECAST">#REF!</definedName>
    <definedName name="MGOTO">#REF!</definedName>
    <definedName name="MGRATIOS">#REF!</definedName>
    <definedName name="MGROWTH">#REF!</definedName>
    <definedName name="MHELP">#REF!</definedName>
    <definedName name="MHIST_RATIOS">#REF!</definedName>
    <definedName name="MHISTORICAL">#REF!</definedName>
    <definedName name="Min">#REF!</definedName>
    <definedName name="MINCREASED">#REF!</definedName>
    <definedName name="MINETOTHER">#REF!</definedName>
    <definedName name="MINETPPE">#REF!</definedName>
    <definedName name="MINIT">#REF!</definedName>
    <definedName name="MINPUT">#REF!</definedName>
    <definedName name="MINTENSITY">#REF!</definedName>
    <definedName name="MINVESTMENT">#REF!</definedName>
    <definedName name="MINVESTYEARS">#REF!</definedName>
    <definedName name="misc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.">IF(#REF!,#REF!+#REF!,#REF!)</definedName>
    <definedName name="MIWORKING">#REF!</definedName>
    <definedName name="mjk" localSheetId="0" hidden="1">{"MSS",#N/A,FALSE,"MSS";"ProdSA",#N/A,FALSE,"ProdSA";"Sales 1",#N/A,FALSE,"SALES";"Transfer 1",#N/A,FALSE,"TRANSFERS"}</definedName>
    <definedName name="mjk" hidden="1">{"MSS",#N/A,FALSE,"MSS";"ProdSA",#N/A,FALSE,"ProdSA";"Sales 1",#N/A,FALSE,"SALES";"Transfer 1",#N/A,FALSE,"TRANSFERS"}</definedName>
    <definedName name="MKD">#REF!+#REF!</definedName>
    <definedName name="MKT_COMP">#REF!</definedName>
    <definedName name="MKT_DEBT">#REF!</definedName>
    <definedName name="MMAIN">#REF!</definedName>
    <definedName name="MMARGIN">#REF!</definedName>
    <definedName name="mmm" localSheetId="0" hidden="1">{#N/A,#N/A,FALSE,"Aging Summary";#N/A,#N/A,FALSE,"Ratio Analysis";#N/A,#N/A,FALSE,"Test 120 Day Accts";#N/A,#N/A,FALSE,"Tickmarks"}</definedName>
    <definedName name="MMM">#REF!</definedName>
    <definedName name="MNETPPE">#REF!</definedName>
    <definedName name="MNOPLAT">#REF!</definedName>
    <definedName name="MOGOTO">#REF!</definedName>
    <definedName name="MoldPlan" hidden="1">{#N/A,#N/A,TRUE,"R-3";#N/A,#N/A,TRUE,"R-3";#N/A,#N/A,TRUE,"R-3"}</definedName>
    <definedName name="MONTH">#REF!</definedName>
    <definedName name="MOTHER">#REF!</definedName>
    <definedName name="MotherExpanded">#REF!</definedName>
    <definedName name="MPREROIC">#REF!</definedName>
    <definedName name="MPRINT">#REF!</definedName>
    <definedName name="MROIC">#REF!</definedName>
    <definedName name="MROICYEARS">#REF!</definedName>
    <definedName name="MRTREE">#REF!</definedName>
    <definedName name="MS">#REF!</definedName>
    <definedName name="MSG_A">#REF!</definedName>
    <definedName name="MTREE_INVEST">#REF!</definedName>
    <definedName name="MTURNOVER">#REF!</definedName>
    <definedName name="MU">#REF!</definedName>
    <definedName name="MVALUE">#REF!</definedName>
    <definedName name="MWACC">#REF!</definedName>
    <definedName name="MWINDOW">#REF!</definedName>
    <definedName name="MWORKING">#REF!</definedName>
    <definedName name="n">#REF!</definedName>
    <definedName name="n8r3">#REF!</definedName>
    <definedName name="Name">#REF!</definedName>
    <definedName name="na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a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auman">#REF!</definedName>
    <definedName name="nbv" localSheetId="0" hidden="1">{#N/A,#N/A,FALSE,"dec98qtr";#N/A,#N/A,FALSE,"suppdecsep98";#N/A,#N/A,FALSE,"w-dec98"}</definedName>
    <definedName name="nbv" hidden="1">{#N/A,#N/A,FALSE,"dec98qtr";#N/A,#N/A,FALSE,"suppdecsep98";#N/A,#N/A,FALSE,"w-dec98"}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ED">#REF!</definedName>
    <definedName name="Net_income">#REF!</definedName>
    <definedName name="NETPPE">#REF!</definedName>
    <definedName name="new" localSheetId="0" hidden="1">{#N/A,#N/A,FALSE,"Aging Summary";#N/A,#N/A,FALSE,"Ratio Analysis";#N/A,#N/A,FALSE,"Test 120 Day Accts";#N/A,#N/A,FALSE,"Tickmarks"}</definedName>
    <definedName name="new">#REF!</definedName>
    <definedName name="New_Assumption">#N/A</definedName>
    <definedName name="new_fill" localSheetId="0" hidden="1">#REF!</definedName>
    <definedName name="new_fill" hidden="1">#REF!</definedName>
    <definedName name="NEW_INVESTMENT">#REF!</definedName>
    <definedName name="New_Ratios">OFFSET(#REF!,1,0)</definedName>
    <definedName name="Newcomputation" localSheetId="0" hidden="1">{"Deferred Fiscal",#N/A,FALSE,"Income"}</definedName>
    <definedName name="Newcomputation" hidden="1">{"Deferred Fiscal",#N/A,FALSE,"Income"}</definedName>
    <definedName name="NEWFORM3" localSheetId="0" hidden="1">#REF!</definedName>
    <definedName name="NEWFORM3" hidden="1">#REF!</definedName>
    <definedName name="NEwPF" localSheetId="0">Scheduled_Payment+Extra_Payment</definedName>
    <definedName name="NEwPF">Scheduled_Payment+Extra_Payment</definedName>
    <definedName name="NEWPF_1">#N/A</definedName>
    <definedName name="NewRange" localSheetId="0" hidden="1">#REF!</definedName>
    <definedName name="NewRange" hidden="1">#REF!</definedName>
    <definedName name="Newsprint.summary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F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kj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kj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ishat_Chunian_Limited">#REF!</definedName>
    <definedName name="NISHAT_CHUNIAN_LTD">#REF!</definedName>
    <definedName name="NK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m" localSheetId="0" hidden="1">{#N/A,#N/A,FALSE,"dec98qtr";#N/A,#N/A,FALSE,"suppdecsep98";#N/A,#N/A,FALSE,"w-dec98"}</definedName>
    <definedName name="nm" hidden="1">{#N/A,#N/A,FALSE,"dec98qtr";#N/A,#N/A,FALSE,"suppdecsep98";#N/A,#N/A,FALSE,"w-dec98"}</definedName>
    <definedName name="NN">#REF!</definedName>
    <definedName name="nnn" localSheetId="0" hidden="1">{"Graphic",#N/A,TRUE,"Graphic"}</definedName>
    <definedName name="NNN">#REF!</definedName>
    <definedName name="NNOPLAT">#REF!</definedName>
    <definedName name="NO">#REF!</definedName>
    <definedName name="NOD" localSheetId="0" hidden="1">{#N/A,#N/A,FALSE,"QUARTERLY SALES";#N/A,#N/A,FALSE,"NET SALES ";#N/A,#N/A,FALSE,"INVENTORY"}</definedName>
    <definedName name="NOD" hidden="1">{#N/A,#N/A,FALSE,"QUARTERLY SALES";#N/A,#N/A,FALSE,"NET SALES ";#N/A,#N/A,FALSE,"INVENTORY"}</definedName>
    <definedName name="No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o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OPLAT">#REF!</definedName>
    <definedName name="NOPLATP">#REF!</definedName>
    <definedName name="normal" localSheetId="0" hidden="1">{#N/A,#N/A,FALSE,"dec98qtr";#N/A,#N/A,FALSE,"suppdecsep98";#N/A,#N/A,FALSE,"w-dec98"}</definedName>
    <definedName name="normal" hidden="1">{#N/A,#N/A,FALSE,"dec98qtr";#N/A,#N/A,FALSE,"suppdecsep98";#N/A,#N/A,FALSE,"w-dec98"}</definedName>
    <definedName name="normal_1_2" hidden="1">{#N/A,#N/A,FALSE,"dec98qtr";#N/A,#N/A,FALSE,"suppdecsep98";#N/A,#N/A,FALSE,"w-dec98"}</definedName>
    <definedName name="normal_1_3" hidden="1">{#N/A,#N/A,FALSE,"dec98qtr";#N/A,#N/A,FALSE,"suppdecsep98";#N/A,#N/A,FALSE,"w-dec98"}</definedName>
    <definedName name="normal_1_4" hidden="1">{#N/A,#N/A,FALSE,"dec98qtr";#N/A,#N/A,FALSE,"suppdecsep98";#N/A,#N/A,FALSE,"w-dec98"}</definedName>
    <definedName name="normal_1_5" hidden="1">{#N/A,#N/A,FALSE,"dec98qtr";#N/A,#N/A,FALSE,"suppdecsep98";#N/A,#N/A,FALSE,"w-dec98"}</definedName>
    <definedName name="normal_2" hidden="1">{#N/A,#N/A,FALSE,"dec98qtr";#N/A,#N/A,FALSE,"suppdecsep98";#N/A,#N/A,FALSE,"w-dec98"}</definedName>
    <definedName name="normal_3" hidden="1">{#N/A,#N/A,FALSE,"dec98qtr";#N/A,#N/A,FALSE,"suppdecsep98";#N/A,#N/A,FALSE,"w-dec98"}</definedName>
    <definedName name="normal_4" hidden="1">{#N/A,#N/A,FALSE,"dec98qtr";#N/A,#N/A,FALSE,"suppdecsep98";#N/A,#N/A,FALSE,"w-dec98"}</definedName>
    <definedName name="normal_5" hidden="1">{#N/A,#N/A,FALSE,"dec98qtr";#N/A,#N/A,FALSE,"suppdecsep98";#N/A,#N/A,FALSE,"w-dec98"}</definedName>
    <definedName name="Note" hidden="1">#REF!</definedName>
    <definedName name="NP">#REF!</definedName>
    <definedName name="NPV">#REF!</definedName>
    <definedName name="NQ">#REF!</definedName>
    <definedName name="NR">#REF!</definedName>
    <definedName name="NS">#REF!</definedName>
    <definedName name="NT">#REF!</definedName>
    <definedName name="NU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mber_of_Payments_New">#N/A</definedName>
    <definedName name="NV">#REF!</definedName>
    <definedName name="NVMC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VMC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W">#REF!</definedName>
    <definedName name="NX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X">#REF!</definedName>
    <definedName name="NY">#REF!</definedName>
    <definedName name="NYZ">#REF!</definedName>
    <definedName name="NZ">#REF!</definedName>
    <definedName name="O">#REF!</definedName>
    <definedName name="O13R10">#REF!</definedName>
    <definedName name="o18s61">#REF!</definedName>
    <definedName name="Oct" hidden="1">#REF!</definedName>
    <definedName name="Oct_17" localSheetId="0" hidden="1">#REF!</definedName>
    <definedName name="Oct_17" hidden="1">#REF!</definedName>
    <definedName name="ODCC">#REF!</definedName>
    <definedName name="ODMC">#REF!</definedName>
    <definedName name="ODPR">#REF!</definedName>
    <definedName name="ooo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OO">#REF!</definedName>
    <definedName name="ooooo" localSheetId="0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ooooo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OPEN">#REF!</definedName>
    <definedName name="OPENING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PENIN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PERATING">#REF!</definedName>
    <definedName name="Operating_Expense_Factor">#REF!</definedName>
    <definedName name="OperatingExpense">#REF!</definedName>
    <definedName name="ORAKL" localSheetId="0" hidden="1">{#N/A,#N/A,FALSE,"QUARTERLY SALES";#N/A,#N/A,FALSE,"NET SALES ";#N/A,#N/A,FALSE,"INVENTORY"}</definedName>
    <definedName name="ORAKL" hidden="1">{#N/A,#N/A,FALSE,"QUARTERLY SALES";#N/A,#N/A,FALSE,"NET SALES ";#N/A,#N/A,FALSE,"INVENTORY"}</definedName>
    <definedName name="ORAL" localSheetId="0" hidden="1">{#N/A,#N/A,FALSE,"NET SALES ";#N/A,#N/A,FALSE,"QUARTERLY SALES"}</definedName>
    <definedName name="ORAL" hidden="1">{#N/A,#N/A,FALSE,"NET SALES ";#N/A,#N/A,FALSE,"QUARTERLY SALES"}</definedName>
    <definedName name="order">#REF!</definedName>
    <definedName name="order_wise">#REF!</definedName>
    <definedName name="OrderQty">#REF!</definedName>
    <definedName name="Orders">#REF!</definedName>
    <definedName name="orderstatus">#REF!</definedName>
    <definedName name="otc.ram.material" localSheetId="0" hidden="1">{#N/A,#N/A,FALSE,"QUARTERLY SALES";#N/A,#N/A,FALSE,"NET SALES ";#N/A,#N/A,FALSE,"INVENTORY"}</definedName>
    <definedName name="otc.ram.material" hidden="1">{#N/A,#N/A,FALSE,"QUARTERLY SALES";#N/A,#N/A,FALSE,"NET SALES ";#N/A,#N/A,FALSE,"INVENTORY"}</definedName>
    <definedName name="OTCGHGHG" localSheetId="0" hidden="1">{#N/A,#N/A,FALSE,"QUARTERLY SALES";#N/A,#N/A,FALSE,"NET SALES ";#N/A,#N/A,FALSE,"INVENTORY"}</definedName>
    <definedName name="OTCGHGHG" hidden="1">{#N/A,#N/A,FALSE,"QUARTERLY SALES";#N/A,#N/A,FALSE,"NET SALES ";#N/A,#N/A,FALSE,"INVENTORY"}</definedName>
    <definedName name="OTHER">#REF!</definedName>
    <definedName name="Other_Vary_Profit_Costs">#REF!</definedName>
    <definedName name="Other_Vary_Revenue_Costs">#REF!</definedName>
    <definedName name="Other_Vary_Unit_Costs">#REF!</definedName>
    <definedName name="OWCC">#REF!</definedName>
    <definedName name="OWDPR">#REF!</definedName>
    <definedName name="OWER">#REF!</definedName>
    <definedName name="OWFER">#REF!</definedName>
    <definedName name="OWLC">#REF!</definedName>
    <definedName name="Ownership" localSheetId="0" hidden="1">OFFSET(#REF!,1,0)</definedName>
    <definedName name="Ownership" hidden="1">OFFSET(#REF!,1,0)</definedName>
    <definedName name="OWPR">#REF!</definedName>
    <definedName name="OWRC">#REF!</definedName>
    <definedName name="OWWR">#REF!</definedName>
    <definedName name="OWZDC">#REF!</definedName>
    <definedName name="p">#REF!</definedName>
    <definedName name="pa">#REF!</definedName>
    <definedName name="Pack_Bal">#REF!</definedName>
    <definedName name="PackingCost">#REF!</definedName>
    <definedName name="PackingFinishing">#REF!</definedName>
    <definedName name="Pay_Date">#REF!</definedName>
    <definedName name="Pay_Num">#REF!</definedName>
    <definedName name="Payback__years">#REF!</definedName>
    <definedName name="Payment_Date" localSheetId="0">DATE(YEAR(Loan_Start),MONTH(Loan_Start)+________QB156,DAY(Loan_Start))</definedName>
    <definedName name="Payment_Date">DATE(YEAR(Loan_Start),MONTH(Loan_Start)+________QB156,DAY(Loan_Start))</definedName>
    <definedName name="PBASE">#REF!</definedName>
    <definedName name="PCASHTAX">#REF!</definedName>
    <definedName name="PCOGS">#REF!</definedName>
    <definedName name="PCONSTANT">#REF!</definedName>
    <definedName name="PDEPRECIATION">#REF!</definedName>
    <definedName name="Period.Choice">"Drop Down 6"</definedName>
    <definedName name="Period1Actuals">#REF!</definedName>
    <definedName name="Period1Home">#REF!</definedName>
    <definedName name="Period1What_If_Scenario">#REF!</definedName>
    <definedName name="Period1What1">#REF!</definedName>
    <definedName name="Period1What2">#REF!</definedName>
    <definedName name="Period1What3">#REF!</definedName>
    <definedName name="Period2Actuals">#REF!</definedName>
    <definedName name="Period2Home">#REF!</definedName>
    <definedName name="Period2What_If_Scenario">#REF!</definedName>
    <definedName name="Period2What1">#REF!</definedName>
    <definedName name="Period2What2">#REF!</definedName>
    <definedName name="Period2What3">#REF!</definedName>
    <definedName name="Period3Actuals">#REF!</definedName>
    <definedName name="Period3Home">#REF!</definedName>
    <definedName name="Period3What_If_Scenario">#REF!</definedName>
    <definedName name="Period3What1">#REF!</definedName>
    <definedName name="Period3What2">#REF!</definedName>
    <definedName name="Period3What3">#REF!</definedName>
    <definedName name="Period4Actuals">#REF!</definedName>
    <definedName name="Period4Home">#REF!</definedName>
    <definedName name="Period4What_If_Scenario">#REF!</definedName>
    <definedName name="Period4What1">#REF!</definedName>
    <definedName name="Period4What2">#REF!</definedName>
    <definedName name="Period4What3">#REF!</definedName>
    <definedName name="PEVA">#REF!</definedName>
    <definedName name="PF">#REF!</definedName>
    <definedName name="PGROWTH">#REF!</definedName>
    <definedName name="PHARMA" localSheetId="0" hidden="1">{#N/A,#N/A,FALSE,"QUARTERLY SALES";#N/A,#N/A,FALSE,"NET SALES ";#N/A,#N/A,FALSE,"INVENTORY"}</definedName>
    <definedName name="PHARMA" hidden="1">{#N/A,#N/A,FALSE,"QUARTERLY SALES";#N/A,#N/A,FALSE,"NET SALES ";#N/A,#N/A,FALSE,"INVENTORY"}</definedName>
    <definedName name="PHISTORICAL">#REF!</definedName>
    <definedName name="PIA">#REF!</definedName>
    <definedName name="Picks">#REF!</definedName>
    <definedName name="PieceRateFinPacking">#REF!</definedName>
    <definedName name="PieceRateGDP">#REF!</definedName>
    <definedName name="PieceRateGWP">#REF!</definedName>
    <definedName name="PieceRateStitching">#REF!</definedName>
    <definedName name="PINCREASED">#REF!</definedName>
    <definedName name="PINETOTHER">#REF!</definedName>
    <definedName name="PINETPPE">#REF!</definedName>
    <definedName name="PINTENSITY">#REF!</definedName>
    <definedName name="PINVESTMENT">#REF!</definedName>
    <definedName name="PINVESTYEARS">#REF!</definedName>
    <definedName name="PIS">#REF!</definedName>
    <definedName name="PISS">#REF!</definedName>
    <definedName name="PIWORKING">#REF!</definedName>
    <definedName name="pli" localSheetId="0" hidden="1">{#N/A,#N/A,FALSE,"dec98qtr";#N/A,#N/A,FALSE,"suppdecsep98";#N/A,#N/A,FALSE,"w-dec98"}</definedName>
    <definedName name="pli" hidden="1">{#N/A,#N/A,FALSE,"dec98qtr";#N/A,#N/A,FALSE,"suppdecsep98";#N/A,#N/A,FALSE,"w-dec98"}</definedName>
    <definedName name="plo" localSheetId="0" hidden="1">{#N/A,#N/A,FALSE,"dec98qtr";#N/A,#N/A,FALSE,"suppdecsep98";#N/A,#N/A,FALSE,"w-dec98"}</definedName>
    <definedName name="plo" hidden="1">{#N/A,#N/A,FALSE,"dec98qtr";#N/A,#N/A,FALSE,"suppdecsep98";#N/A,#N/A,FALSE,"w-dec98"}</definedName>
    <definedName name="PMARGIN">#REF!</definedName>
    <definedName name="P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NETPPE">#REF!</definedName>
    <definedName name="PNOPLAT">#REF!</definedName>
    <definedName name="PopCache_FA_MASS_ADDITIONS_AMORTIZE_NBV_FLAG" localSheetId="0" hidden="1">#REF!</definedName>
    <definedName name="PopCache_FA_MASS_ADDITIONS_AMORTIZE_NBV_FLAG" hidden="1">#REF!</definedName>
    <definedName name="PopCache_FA_MASS_ADDITIONS_ASSET_TYPE" localSheetId="0" hidden="1">#REF!</definedName>
    <definedName name="PopCache_FA_MASS_ADDITIONS_ASSET_TYPE" hidden="1">#REF!</definedName>
    <definedName name="PopCache_FA_MASS_ADDITIONS_DEPRECIATE_FLAG" localSheetId="0" hidden="1">#REF!</definedName>
    <definedName name="PopCache_FA_MASS_ADDITIONS_DEPRECIATE_FLAG" hidden="1">#REF!</definedName>
    <definedName name="PopCache_FA_MASS_ADDITIONS_IN_USE_FLAG" localSheetId="0" hidden="1">#REF!</definedName>
    <definedName name="PopCache_FA_MASS_ADDITIONS_IN_USE_FLAG" hidden="1">#REF!</definedName>
    <definedName name="PopCache_FA_MASS_ADDITIONS_INVENTORIAL" localSheetId="0" hidden="1">#REF!</definedName>
    <definedName name="PopCache_FA_MASS_ADDITIONS_INVENTORIAL" hidden="1">#REF!</definedName>
    <definedName name="PopCache_FA_MASS_ADDITIONS_NEW_USED" localSheetId="0" hidden="1">#REF!</definedName>
    <definedName name="PopCache_FA_MASS_ADDITIONS_NEW_USED" hidden="1">#REF!</definedName>
    <definedName name="PopCache_FA_MASS_ADDITIONS_OWNED_LEASED" localSheetId="0" hidden="1">#REF!</definedName>
    <definedName name="PopCache_FA_MASS_ADDITIONS_OWNED_LEASED" hidden="1">#REF!</definedName>
    <definedName name="PopCache_FA_MASS_ADDITIONS_PROPERTY_1245_1250_CODE" localSheetId="0" hidden="1">#REF!</definedName>
    <definedName name="PopCache_FA_MASS_ADDITIONS_PROPERTY_1245_1250_CODE" hidden="1">#REF!</definedName>
    <definedName name="PopCache_FA_MASS_ADDITIONS_PROPERTY_TYPE_CODE" localSheetId="0" hidden="1">#REF!</definedName>
    <definedName name="PopCache_FA_MASS_ADDITIONS_PROPERTY_TYPE_CODE" hidden="1">#REF!</definedName>
    <definedName name="POTHER">#REF!</definedName>
    <definedName name="PPP">#REF!</definedName>
    <definedName name="ppppp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pp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REROIC">#REF!</definedName>
    <definedName name="PQ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o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o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R">#REF!</definedName>
    <definedName name="Pre_Rates">#REF!</definedName>
    <definedName name="PrecipitationData">#REF!</definedName>
    <definedName name="Prepaid" hidden="1">#REF!</definedName>
    <definedName name="PREROIC">#REF!</definedName>
    <definedName name="Prev_GWPChemical">#REF!</definedName>
    <definedName name="PRFP">#REF!</definedName>
    <definedName name="PRICE">#REF!</definedName>
    <definedName name="Princ">#REF!</definedName>
    <definedName name="_xlnm.Print_Area">#REF!</definedName>
    <definedName name="Print_Area_MI">#REF!</definedName>
    <definedName name="Print_Area_Reset" localSheetId="0">OFFSET(Full_Print,0,0,Last_Row)</definedName>
    <definedName name="Print_Area_Reset">OFFSET(Full_Print,0,0,Last_Row)</definedName>
    <definedName name="Print_Titles_MI">#REF!,#REF!</definedName>
    <definedName name="print99" localSheetId="0" hidden="1">{#N/A,#N/A,FALSE,"Resid CPRIV";#N/A,#N/A,FALSE,"Comer_CPRIVKsum";#N/A,#N/A,FALSE,"General (2)";#N/A,#N/A,FALSE,"Oficial";#N/A,#N/A,FALSE,"Resumen";#N/A,#N/A,FALSE,"Escenarios"}</definedName>
    <definedName name="print99" hidden="1">{#N/A,#N/A,FALSE,"Resid CPRIV";#N/A,#N/A,FALSE,"Comer_CPRIVKsum";#N/A,#N/A,FALSE,"General (2)";#N/A,#N/A,FALSE,"Oficial";#N/A,#N/A,FALSE,"Resumen";#N/A,#N/A,FALSE,"Escenarios"}</definedName>
    <definedName name="Printing">#REF!</definedName>
    <definedName name="ProdData">#REF!</definedName>
    <definedName name="Production">#REF!</definedName>
    <definedName name="ProductionPerDay">#REF!</definedName>
    <definedName name="PROIC">#REF!</definedName>
    <definedName name="PROICF">#REF!</definedName>
    <definedName name="PROICYEARS">#REF!</definedName>
    <definedName name="PS">#REF!</definedName>
    <definedName name="PSG_A">#REF!</definedName>
    <definedName name="PTN">#REF!</definedName>
    <definedName name="PTURNOVER">#REF!</definedName>
    <definedName name="PUB_UserID" hidden="1">"MAYERX"</definedName>
    <definedName name="PWORKING">#REF!</definedName>
    <definedName name="q">#REF!</definedName>
    <definedName name="Q1B13">#REF!</definedName>
    <definedName name="QA">#REF!</definedName>
    <definedName name="QAActiveSheetID">#N/A</definedName>
    <definedName name="qadfdfd" localSheetId="0" hidden="1">{#N/A,#N/A,FALSE,"Tuition FEE"}</definedName>
    <definedName name="qadfdfd" hidden="1">{#N/A,#N/A,FALSE,"Tuition FEE"}</definedName>
    <definedName name="QB">#REF!</definedName>
    <definedName name="qlnumbers3">#REF!</definedName>
    <definedName name="qo12xn3">#REF!</definedName>
    <definedName name="QP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QQ">#REF!</definedName>
    <definedName name="qqqqqqqq">#REF!</definedName>
    <definedName name="qqqqqqqqqqq" hidden="1">1</definedName>
    <definedName name="Qty">#REF!</definedName>
    <definedName name="Quantity">#REF!</definedName>
    <definedName name="qwerty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rt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tyu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tyu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_">#REF!</definedName>
    <definedName name="RAAZIQ" localSheetId="0" hidden="1">#REF!</definedName>
    <definedName name="RAAZIQ" hidden="1">#REF!</definedName>
    <definedName name="range4">#REF!</definedName>
    <definedName name="Rate">#REF!</definedName>
    <definedName name="RateDataBase">#REF!</definedName>
    <definedName name="Rates">#REF!</definedName>
    <definedName name="rates2">#REF!</definedName>
    <definedName name="ratios">#REF!</definedName>
    <definedName name="RBORDER">#REF!</definedName>
    <definedName name="RCA">#REF!</definedName>
    <definedName name="RCOW">#REF!</definedName>
    <definedName name="Re_Pack">#REF!</definedName>
    <definedName name="REAL">#REF!</definedName>
    <definedName name="Reconciliations" localSheetId="0" hidden="1">{#N/A,#N/A,FALSE,"Aging Summary";#N/A,#N/A,FALSE,"Ratio Analysis";#N/A,#N/A,FALSE,"Test 120 Day Accts";#N/A,#N/A,FALSE,"Tickmarks"}</definedName>
    <definedName name="Reconciliations" hidden="1">{#N/A,#N/A,FALSE,"Aging Summary";#N/A,#N/A,FALSE,"Ratio Analysis";#N/A,#N/A,FALSE,"Test 120 Day Accts";#N/A,#N/A,FALSE,"Tickmarks"}</definedName>
    <definedName name="_xlnm.Recorder">#N/A</definedName>
    <definedName name="RED">#REF!</definedName>
    <definedName name="RedefinePrintTableRange" localSheetId="0" hidden="1">#REF!</definedName>
    <definedName name="RedefinePrintTableRange" hidden="1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ce_Turnover_of_Top_Performers">#REF!</definedName>
    <definedName name="Reduce_Turnover_Timely_Compensation_Review_Increase_Utilization">#REF!</definedName>
    <definedName name="REEE">#REF!</definedName>
    <definedName name="regnb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gn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gressionCopy" hidden="1">#REF!</definedName>
    <definedName name="reity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i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port" localSheetId="0" hidden="1">{#N/A,#N/A,FALSE,"Report Print"}</definedName>
    <definedName name="Report" hidden="1">{#N/A,#N/A,FALSE,"Report Print"}</definedName>
    <definedName name="report99" localSheetId="0" hidden="1">{"Rep 1",#N/A,FALSE,"Reports";"Rep 2",#N/A,FALSE,"Reports";"Rep 3",#N/A,FALSE,"Reports";"Rep 4",#N/A,FALSE,"Reports"}</definedName>
    <definedName name="report99" hidden="1">{"Rep 1",#N/A,FALSE,"Reports";"Rep 2",#N/A,FALSE,"Reports";"Rep 3",#N/A,FALSE,"Reports";"Rep 4",#N/A,FALSE,"Reports"}</definedName>
    <definedName name="ReportPage1" localSheetId="0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SULTS">#REF!</definedName>
    <definedName name="reti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ti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v" localSheetId="0" hidden="1">#REF!</definedName>
    <definedName name="rev" hidden="1">#REF!</definedName>
    <definedName name="reval" localSheetId="0" hidden="1">{"'CALL MONEY'!$K$53"}</definedName>
    <definedName name="reval" hidden="1">{"'CALL MONEY'!$K$53"}</definedName>
    <definedName name="Revised" localSheetId="0" hidden="1">{"'CALL MONEY'!$K$53"}</definedName>
    <definedName name="Revised" hidden="1">{"'CALL MONEY'!$K$53"}</definedName>
    <definedName name="RewardGDP">#REF!</definedName>
    <definedName name="rewer1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wer1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greg4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greg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b">#REF!</definedName>
    <definedName name="RING">#REF!</definedName>
    <definedName name="RINGO">#REF!</definedName>
    <definedName name="RM">#REF!</definedName>
    <definedName name="ROI">#REF!</definedName>
    <definedName name="roic">#REF!</definedName>
    <definedName name="roic_print">#REF!</definedName>
    <definedName name="ROICF">#REF!</definedName>
    <definedName name="ROICYEARS">#REF!</definedName>
    <definedName name="RPM">#REF!</definedName>
    <definedName name="rr_1_2" hidden="1">{#N/A,#N/A,FALSE,"dec98qtr";#N/A,#N/A,FALSE,"suppdecsep98";#N/A,#N/A,FALSE,"w-dec98"}</definedName>
    <definedName name="rr_1_3" hidden="1">{#N/A,#N/A,FALSE,"dec98qtr";#N/A,#N/A,FALSE,"suppdecsep98";#N/A,#N/A,FALSE,"w-dec98"}</definedName>
    <definedName name="rr_1_4" hidden="1">{#N/A,#N/A,FALSE,"dec98qtr";#N/A,#N/A,FALSE,"suppdecsep98";#N/A,#N/A,FALSE,"w-dec98"}</definedName>
    <definedName name="rr_1_5" hidden="1">{#N/A,#N/A,FALSE,"dec98qtr";#N/A,#N/A,FALSE,"suppdecsep98";#N/A,#N/A,FALSE,"w-dec98"}</definedName>
    <definedName name="rr_2" hidden="1">{#N/A,#N/A,FALSE,"dec98qtr";#N/A,#N/A,FALSE,"suppdecsep98";#N/A,#N/A,FALSE,"w-dec98"}</definedName>
    <definedName name="rr_3" hidden="1">{#N/A,#N/A,FALSE,"dec98qtr";#N/A,#N/A,FALSE,"suppdecsep98";#N/A,#N/A,FALSE,"w-dec98"}</definedName>
    <definedName name="rr_4" hidden="1">{#N/A,#N/A,FALSE,"dec98qtr";#N/A,#N/A,FALSE,"suppdecsep98";#N/A,#N/A,FALSE,"w-dec98"}</definedName>
    <definedName name="rr_5" hidden="1">{#N/A,#N/A,FALSE,"dec98qtr";#N/A,#N/A,FALSE,"suppdecsep98";#N/A,#N/A,FALSE,"w-dec98"}</definedName>
    <definedName name="RRR">#REF!</definedName>
    <definedName name="RRROIC">#REF!</definedName>
    <definedName name="rrrr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TREE">#REF!</definedName>
    <definedName name="rtrytu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trytu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">#REF!</definedName>
    <definedName name="s">#REF!</definedName>
    <definedName name="SA_1_2" hidden="1">{#N/A,#N/A,FALSE,"dec98qtr";#N/A,#N/A,FALSE,"suppdecsep98";#N/A,#N/A,FALSE,"w-dec98"}</definedName>
    <definedName name="SA_1_3" hidden="1">{#N/A,#N/A,FALSE,"dec98qtr";#N/A,#N/A,FALSE,"suppdecsep98";#N/A,#N/A,FALSE,"w-dec98"}</definedName>
    <definedName name="SA_1_4" hidden="1">{#N/A,#N/A,FALSE,"dec98qtr";#N/A,#N/A,FALSE,"suppdecsep98";#N/A,#N/A,FALSE,"w-dec98"}</definedName>
    <definedName name="SA_1_5" hidden="1">{#N/A,#N/A,FALSE,"dec98qtr";#N/A,#N/A,FALSE,"suppdecsep98";#N/A,#N/A,FALSE,"w-dec98"}</definedName>
    <definedName name="SA_3" hidden="1">{#N/A,#N/A,FALSE,"dec98qtr";#N/A,#N/A,FALSE,"suppdecsep98";#N/A,#N/A,FALSE,"w-dec98"}</definedName>
    <definedName name="SA_4" hidden="1">{#N/A,#N/A,FALSE,"dec98qtr";#N/A,#N/A,FALSE,"suppdecsep98";#N/A,#N/A,FALSE,"w-dec98"}</definedName>
    <definedName name="SA_5" hidden="1">{#N/A,#N/A,FALSE,"dec98qtr";#N/A,#N/A,FALSE,"suppdecsep98";#N/A,#N/A,FALSE,"w-dec98"}</definedName>
    <definedName name="SADASW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ADASW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ADF" localSheetId="0" hidden="1">#REF!</definedName>
    <definedName name="SADF" hidden="1">#REF!</definedName>
    <definedName name="Saeed">#REF!</definedName>
    <definedName name="SAGR" localSheetId="0" hidden="1">{"'FF'!$B$57:$B$58"}</definedName>
    <definedName name="SAGR" hidden="1">{"'FF'!$B$57:$B$58"}</definedName>
    <definedName name="Salary">#REF!</definedName>
    <definedName name="Sales">#REF!</definedName>
    <definedName name="Sales_Commissions">#REF!</definedName>
    <definedName name="Sales_Tax">#REF!</definedName>
    <definedName name="SalesPrice">#REF!</definedName>
    <definedName name="SalesVolume">#REF!</definedName>
    <definedName name="samp">#REF!</definedName>
    <definedName name="sampl">#REF!</definedName>
    <definedName name="sample" localSheetId="0" hidden="1">{#N/A,#N/A,FALSE,"Aging Summary";#N/A,#N/A,FALSE,"Ratio Analysis";#N/A,#N/A,FALSE,"Test 120 Day Accts";#N/A,#N/A,FALSE,"Tickmarks"}</definedName>
    <definedName name="sample" hidden="1">{#N/A,#N/A,FALSE,"Aging Summary";#N/A,#N/A,FALSE,"Ratio Analysis";#N/A,#N/A,FALSE,"Test 120 Day Accts";#N/A,#N/A,FALSE,"Tickmarks"}</definedName>
    <definedName name="Samples">#REF!</definedName>
    <definedName name="SAPBEXdnldView" hidden="1">"4523BOD3NP0AY3U45XIGBBW4M"</definedName>
    <definedName name="SAPBEXrevision" hidden="1">1</definedName>
    <definedName name="SAPBEXsysID" hidden="1">"PB3"</definedName>
    <definedName name="SAPBEXwbID" hidden="1">"3K4ZA07EV8L6CE2AJMDRZ28TJ"</definedName>
    <definedName name="SBT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ratch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">#REF!</definedName>
    <definedName name="sda" localSheetId="0" hidden="1">{"Sales 2",#N/A,FALSE,"SALES";"Transfer 2",#N/A,FALSE,"TRANSFERS";"A1460",#N/A,FALSE,"A1460"}</definedName>
    <definedName name="sda" hidden="1">{"Sales 2",#N/A,FALSE,"SALES";"Transfer 2",#N/A,FALSE,"TRANSFERS";"A1460",#N/A,FALSE,"A1460"}</definedName>
    <definedName name="sda_1_2" hidden="1">{"Sales 2",#N/A,FALSE,"SALES";"Transfer 2",#N/A,FALSE,"TRANSFERS";"A1460",#N/A,FALSE,"A1460"}</definedName>
    <definedName name="sda_1_3" hidden="1">{"Sales 2",#N/A,FALSE,"SALES";"Transfer 2",#N/A,FALSE,"TRANSFERS";"A1460",#N/A,FALSE,"A1460"}</definedName>
    <definedName name="sda_1_4" hidden="1">{"Sales 2",#N/A,FALSE,"SALES";"Transfer 2",#N/A,FALSE,"TRANSFERS";"A1460",#N/A,FALSE,"A1460"}</definedName>
    <definedName name="sda_1_5" hidden="1">{"Sales 2",#N/A,FALSE,"SALES";"Transfer 2",#N/A,FALSE,"TRANSFERS";"A1460",#N/A,FALSE,"A1460"}</definedName>
    <definedName name="sda_2" hidden="1">{"Sales 2",#N/A,FALSE,"SALES";"Transfer 2",#N/A,FALSE,"TRANSFERS";"A1460",#N/A,FALSE,"A1460"}</definedName>
    <definedName name="sda_3" hidden="1">{"Sales 2",#N/A,FALSE,"SALES";"Transfer 2",#N/A,FALSE,"TRANSFERS";"A1460",#N/A,FALSE,"A1460"}</definedName>
    <definedName name="sda_4" hidden="1">{"Sales 2",#N/A,FALSE,"SALES";"Transfer 2",#N/A,FALSE,"TRANSFERS";"A1460",#N/A,FALSE,"A1460"}</definedName>
    <definedName name="sda_5" hidden="1">{"Sales 2",#N/A,FALSE,"SALES";"Transfer 2",#N/A,FALSE,"TRANSFERS";"A1460",#N/A,FALSE,"A1460"}</definedName>
    <definedName name="sdasdasdasdasdasd" localSheetId="0" hidden="1">#REF!,#REF!,#REF!,#REF!</definedName>
    <definedName name="sdasdasdasdasdasd" hidden="1">#REF!,#REF!,#REF!,#REF!</definedName>
    <definedName name="SDB">#REF!</definedName>
    <definedName name="sdfd">#REF!</definedName>
    <definedName name="sd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a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a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vz" localSheetId="0" hidden="1">#REF!</definedName>
    <definedName name="sdvz" hidden="1">#REF!</definedName>
    <definedName name="SEED">#REF!</definedName>
    <definedName name="seg" localSheetId="0" hidden="1">{#N/A,#N/A,FALSE,"Aging Summary";#N/A,#N/A,FALSE,"Ratio Analysis";#N/A,#N/A,FALSE,"Test 120 Day Accts";#N/A,#N/A,FALSE,"Tickmarks"}</definedName>
    <definedName name="seg" hidden="1">{#N/A,#N/A,FALSE,"Aging Summary";#N/A,#N/A,FALSE,"Ratio Analysis";#N/A,#N/A,FALSE,"Test 120 Day Accts";#N/A,#N/A,FALSE,"Tickmarks"}</definedName>
    <definedName name="Select_Report">#N/A</definedName>
    <definedName name="sencount" hidden="1">1</definedName>
    <definedName name="Send_Received">#REF!</definedName>
    <definedName name="Sep">#REF!</definedName>
    <definedName name="Separation_Rate">#REF!</definedName>
    <definedName name="SEPT02" localSheetId="0" hidden="1">#REF!</definedName>
    <definedName name="SEPT02" hidden="1">#REF!</definedName>
    <definedName name="set">#REF!</definedName>
    <definedName name="SFASAF" localSheetId="0" hidden="1">{#N/A,#N/A,FALSE,"Income State.";#N/A,#N/A,FALSE,"B-S"}</definedName>
    <definedName name="SFASAF" hidden="1">{#N/A,#N/A,FALSE,"Income State.";#N/A,#N/A,FALSE,"B-S"}</definedName>
    <definedName name="sfgs" localSheetId="0" hidden="1">{#N/A,#N/A,FALSE,"dec98qtr";#N/A,#N/A,FALSE,"suppdecsep98";#N/A,#N/A,FALSE,"w-dec98"}</definedName>
    <definedName name="sfgs" hidden="1">{#N/A,#N/A,FALSE,"dec98qtr";#N/A,#N/A,FALSE,"suppdecsep98";#N/A,#N/A,FALSE,"w-dec98"}</definedName>
    <definedName name="sfgs_1_2" hidden="1">{#N/A,#N/A,FALSE,"dec98qtr";#N/A,#N/A,FALSE,"suppdecsep98";#N/A,#N/A,FALSE,"w-dec98"}</definedName>
    <definedName name="sfgs_1_3" hidden="1">{#N/A,#N/A,FALSE,"dec98qtr";#N/A,#N/A,FALSE,"suppdecsep98";#N/A,#N/A,FALSE,"w-dec98"}</definedName>
    <definedName name="sfgs_1_4" hidden="1">{#N/A,#N/A,FALSE,"dec98qtr";#N/A,#N/A,FALSE,"suppdecsep98";#N/A,#N/A,FALSE,"w-dec98"}</definedName>
    <definedName name="sfgs_1_5" hidden="1">{#N/A,#N/A,FALSE,"dec98qtr";#N/A,#N/A,FALSE,"suppdecsep98";#N/A,#N/A,FALSE,"w-dec98"}</definedName>
    <definedName name="sfgs_2" hidden="1">{#N/A,#N/A,FALSE,"dec98qtr";#N/A,#N/A,FALSE,"suppdecsep98";#N/A,#N/A,FALSE,"w-dec98"}</definedName>
    <definedName name="sfgs_3" hidden="1">{#N/A,#N/A,FALSE,"dec98qtr";#N/A,#N/A,FALSE,"suppdecsep98";#N/A,#N/A,FALSE,"w-dec98"}</definedName>
    <definedName name="sfgs_4" hidden="1">{#N/A,#N/A,FALSE,"dec98qtr";#N/A,#N/A,FALSE,"suppdecsep98";#N/A,#N/A,FALSE,"w-dec98"}</definedName>
    <definedName name="sfgs_5" hidden="1">{#N/A,#N/A,FALSE,"dec98qtr";#N/A,#N/A,FALSE,"suppdecsep98";#N/A,#N/A,FALSE,"w-dec98"}</definedName>
    <definedName name="sfm" localSheetId="0" hidden="1">{#N/A,#N/A,FALSE,"dec98qtr";#N/A,#N/A,FALSE,"suppdecsep98";#N/A,#N/A,FALSE,"w-dec98"}</definedName>
    <definedName name="sfm" hidden="1">{#N/A,#N/A,FALSE,"dec98qtr";#N/A,#N/A,FALSE,"suppdecsep98";#N/A,#N/A,FALSE,"w-dec98"}</definedName>
    <definedName name="SG_A">#REF!</definedName>
    <definedName name="SHARES">#REF!</definedName>
    <definedName name="SHEHET" localSheetId="0" hidden="1">{"'FF'!$B$57:$B$58"}</definedName>
    <definedName name="SHEHET" hidden="1">{"'FF'!$B$57:$B$58"}</definedName>
    <definedName name="shift">#REF!</definedName>
    <definedName name="ShiftConsumed">#REF!</definedName>
    <definedName name="Shifts">#REF!</definedName>
    <definedName name="shipment">#REF!</definedName>
    <definedName name="Shipment_plan">#REF!</definedName>
    <definedName name="Shipments">#REF!</definedName>
    <definedName name="ShippedQty">#REF!</definedName>
    <definedName name="shor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o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orten_Compensation_Planning_Cycle_time_for_Compensation_Group">#REF!</definedName>
    <definedName name="Shrink">#REF!</definedName>
    <definedName name="Single_Dip">#REF!</definedName>
    <definedName name="sklksdaj" localSheetId="0" hidden="1">{#N/A,#N/A,FALSE,"Income State.";#N/A,#N/A,FALSE,"B-S"}</definedName>
    <definedName name="sklksdaj" hidden="1">{#N/A,#N/A,FALSE,"Income State.";#N/A,#N/A,FALSE,"B-S"}</definedName>
    <definedName name="S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linger">#REF!</definedName>
    <definedName name="SMC">#REF!</definedName>
    <definedName name="smv">#REF!</definedName>
    <definedName name="SMVF">#REF!</definedName>
    <definedName name="SMVs">#REF!</definedName>
    <definedName name="SOAP" localSheetId="0" hidden="1">{#N/A,#N/A,FALSE,"NET SALES ";#N/A,#N/A,FALSE,"QUARTERLY SALES"}</definedName>
    <definedName name="SOAP" hidden="1">{#N/A,#N/A,FALSE,"NET SALES ";#N/A,#N/A,FALSE,"QUARTERLY SALES"}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">#REF!</definedName>
    <definedName name="Spinner1">#REF!</definedName>
    <definedName name="Spinner2">#REF!</definedName>
    <definedName name="SpinnerMaster">#REF!</definedName>
    <definedName name="sq23zi54">#REF!</definedName>
    <definedName name="SS">#REF!</definedName>
    <definedName name="SS_1_2" hidden="1">{#N/A,#N/A,FALSE,"dec98qtr";#N/A,#N/A,FALSE,"suppdecsep98";#N/A,#N/A,FALSE,"w-dec98"}</definedName>
    <definedName name="SS_1_3" hidden="1">{#N/A,#N/A,FALSE,"dec98qtr";#N/A,#N/A,FALSE,"suppdecsep98";#N/A,#N/A,FALSE,"w-dec98"}</definedName>
    <definedName name="SS_1_4" hidden="1">{#N/A,#N/A,FALSE,"dec98qtr";#N/A,#N/A,FALSE,"suppdecsep98";#N/A,#N/A,FALSE,"w-dec98"}</definedName>
    <definedName name="SS_1_5" hidden="1">{#N/A,#N/A,FALSE,"dec98qtr";#N/A,#N/A,FALSE,"suppdecsep98";#N/A,#N/A,FALSE,"w-dec98"}</definedName>
    <definedName name="SS_3" hidden="1">{#N/A,#N/A,FALSE,"dec98qtr";#N/A,#N/A,FALSE,"suppdecsep98";#N/A,#N/A,FALSE,"w-dec98"}</definedName>
    <definedName name="SS_4" hidden="1">{#N/A,#N/A,FALSE,"dec98qtr";#N/A,#N/A,FALSE,"suppdecsep98";#N/A,#N/A,FALSE,"w-dec98"}</definedName>
    <definedName name="SS_5" hidden="1">{#N/A,#N/A,FALSE,"dec98qtr";#N/A,#N/A,FALSE,"suppdecsep98";#N/A,#N/A,FALSE,"w-dec98"}</definedName>
    <definedName name="SSMV">#REF!</definedName>
    <definedName name="SSS">#REF!</definedName>
    <definedName name="ssss" localSheetId="0" hidden="1">#REF!</definedName>
    <definedName name="ssss" hidden="1">#REF!</definedName>
    <definedName name="ssssss" localSheetId="0" hidden="1">{#N/A,#N/A,FALSE,"dec98qtr";#N/A,#N/A,FALSE,"suppdecsep98";#N/A,#N/A,FALSE,"w-dec98"}</definedName>
    <definedName name="ssssss" hidden="1">{#N/A,#N/A,FALSE,"dec98qtr";#N/A,#N/A,FALSE,"suppdecsep98";#N/A,#N/A,FALSE,"w-dec98"}</definedName>
    <definedName name="St_Bal">#REF!</definedName>
    <definedName name="Stage">#REF!</definedName>
    <definedName name="StartCellA1">#REF!</definedName>
    <definedName name="StartCellA54">#REF!</definedName>
    <definedName name="State_Income_Tax">#REF!</definedName>
    <definedName name="Stitching">#REF!</definedName>
    <definedName name="stock">IF(#REF!*#REF!*#REF!*#REF!&gt;0,1,0)</definedName>
    <definedName name="STOCKOP">#REF!</definedName>
    <definedName name="Stocks">#REF!</definedName>
    <definedName name="Stocksg">#REF!</definedName>
    <definedName name="style">#REF!</definedName>
    <definedName name="StyleArticlewithCustomer">#REF!</definedName>
    <definedName name="StyleMonth">#REF!</definedName>
    <definedName name="Sub_Total">#REF!</definedName>
    <definedName name="sultan" localSheetId="0" hidden="1">{#N/A,#N/A,FALSE,"Tuition FEE"}</definedName>
    <definedName name="sultan" hidden="1">{#N/A,#N/A,FALSE,"Tuition FEE"}</definedName>
    <definedName name="Sum">#REF!</definedName>
    <definedName name="summary">#REF!</definedName>
    <definedName name="Summation">#REF!</definedName>
    <definedName name="Summation1">#REF!</definedName>
    <definedName name="Summation2">#REF!</definedName>
    <definedName name="Summation3">#REF!</definedName>
    <definedName name="Summation4">#REF!</definedName>
    <definedName name="summery">#REF!</definedName>
    <definedName name="SumRange">#REF!</definedName>
    <definedName name="SumRangeAmt">#REF!</definedName>
    <definedName name="SunshineData">#REF!</definedName>
    <definedName name="SUP_CALC">#REF!</definedName>
    <definedName name="SVDWUA">#REF!</definedName>
    <definedName name="SVFWUA">#REF!</definedName>
    <definedName name="SVJWUA">#REF!</definedName>
    <definedName name="SVMAR">#REF!</definedName>
    <definedName name="SVNWUA">#REF!</definedName>
    <definedName name="SVOWUA">#REF!</definedName>
    <definedName name="t">#REF!</definedName>
    <definedName name="t1e9">#REF!</definedName>
    <definedName name="T1J29">#REF!</definedName>
    <definedName name="t1v36">#REF!</definedName>
    <definedName name="t45q8">#REF!</definedName>
    <definedName name="t8n90">#REF!</definedName>
    <definedName name="TA">#REF!</definedName>
    <definedName name="TAAX" localSheetId="0" hidden="1">{#N/A,#N/A,FALSE,"dec98qtr";#N/A,#N/A,FALSE,"suppdecsep98";#N/A,#N/A,FALSE,"w-dec98"}</definedName>
    <definedName name="TAAX" hidden="1">{#N/A,#N/A,FALSE,"dec98qtr";#N/A,#N/A,FALSE,"suppdecsep98";#N/A,#N/A,FALSE,"w-dec98"}</definedName>
    <definedName name="tab">#REF!</definedName>
    <definedName name="tAjan10">#REF!</definedName>
    <definedName name="talha" localSheetId="0" hidden="1">{"'CALL MONEY'!$K$53"}</definedName>
    <definedName name="talha" hidden="1">{"'CALL MONEY'!$K$53"}</definedName>
    <definedName name="TANZEE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ANZEE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AW">#REF!</definedName>
    <definedName name="Taxation_1_2" hidden="1">{"Sales 2",#N/A,FALSE,"SALES";"Transfer 2",#N/A,FALSE,"TRANSFERS";"A1460",#N/A,FALSE,"A1460"}</definedName>
    <definedName name="Taxation_1_3" hidden="1">{"Sales 2",#N/A,FALSE,"SALES";"Transfer 2",#N/A,FALSE,"TRANSFERS";"A1460",#N/A,FALSE,"A1460"}</definedName>
    <definedName name="Taxation_1_4" hidden="1">{"Sales 2",#N/A,FALSE,"SALES";"Transfer 2",#N/A,FALSE,"TRANSFERS";"A1460",#N/A,FALSE,"A1460"}</definedName>
    <definedName name="Taxation_1_5" hidden="1">{"Sales 2",#N/A,FALSE,"SALES";"Transfer 2",#N/A,FALSE,"TRANSFERS";"A1460",#N/A,FALSE,"A1460"}</definedName>
    <definedName name="Taxation_2" hidden="1">{"Sales 2",#N/A,FALSE,"SALES";"Transfer 2",#N/A,FALSE,"TRANSFERS";"A1460",#N/A,FALSE,"A1460"}</definedName>
    <definedName name="Taxation_3" hidden="1">{"Sales 2",#N/A,FALSE,"SALES";"Transfer 2",#N/A,FALSE,"TRANSFERS";"A1460",#N/A,FALSE,"A1460"}</definedName>
    <definedName name="Taxation_4" hidden="1">{"Sales 2",#N/A,FALSE,"SALES";"Transfer 2",#N/A,FALSE,"TRANSFERS";"A1460",#N/A,FALSE,"A1460"}</definedName>
    <definedName name="Taxation_5" hidden="1">{"Sales 2",#N/A,FALSE,"SALES";"Transfer 2",#N/A,FALSE,"TRANSFERS";"A1460",#N/A,FALSE,"A1460"}</definedName>
    <definedName name="Taxes">#REF!</definedName>
    <definedName name="TC">#REF!</definedName>
    <definedName name="TCredo" localSheetId="0" hidden="1">{#N/A,#N/A,FALSE,"ACQ_GRAPHS";#N/A,#N/A,FALSE,"T_1 GRAPHS";#N/A,#N/A,FALSE,"T_2 GRAPHS";#N/A,#N/A,FALSE,"COMB_GRAPHS"}</definedName>
    <definedName name="TCredo" hidden="1">{#N/A,#N/A,FALSE,"ACQ_GRAPHS";#N/A,#N/A,FALSE,"T_1 GRAPHS";#N/A,#N/A,FALSE,"T_2 GRAPHS";#N/A,#N/A,FALSE,"COMB_GRAPHS"}</definedName>
    <definedName name="TCwrn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0" hidden="1">{#N/A,#N/A,FALSE,"INPUTS";#N/A,#N/A,FALSE,"PROFORMA BSHEET";#N/A,#N/A,FALSE,"COMBINED";#N/A,#N/A,FALSE,"HIGH YIELD";#N/A,#N/A,FALSE,"COMB_GRAPHS"}</definedName>
    <definedName name="TCwrn.comb" hidden="1">{#N/A,#N/A,FALSE,"INPUTS";#N/A,#N/A,FALSE,"PROFORMA BSHEET";#N/A,#N/A,FALSE,"COMBINED";#N/A,#N/A,FALSE,"HIGH YIELD";#N/A,#N/A,FALSE,"COMB_GRAPHS"}</definedName>
    <definedName name="TCwrn.graphs" localSheetId="0" hidden="1">{#N/A,#N/A,FALSE,"ACQ_GRAPHS";#N/A,#N/A,FALSE,"T_1 GRAPHS";#N/A,#N/A,FALSE,"T_2 GRAPHS";#N/A,#N/A,FALSE,"COMB_GRAPHS"}</definedName>
    <definedName name="TCwrn.graphs" hidden="1">{#N/A,#N/A,FALSE,"ACQ_GRAPHS";#N/A,#N/A,FALSE,"T_1 GRAPHS";#N/A,#N/A,FALSE,"T_2 GRAPHS";#N/A,#N/A,FALSE,"COMB_GRAPHS"}</definedName>
    <definedName name="TCwrn.val" localSheetId="0" hidden="1">{#N/A,#N/A,FALSE,"Valuation Assumptions";#N/A,#N/A,FALSE,"Summary";#N/A,#N/A,FALSE,"DCF";#N/A,#N/A,FALSE,"Valuation";#N/A,#N/A,FALSE,"WACC";#N/A,#N/A,FALSE,"UBVH";#N/A,#N/A,FALSE,"Free Cash Flow"}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emperatureData">#REF!</definedName>
    <definedName name="TemplatePrintArea">#REF!</definedName>
    <definedName name="TermDays">#REF!</definedName>
    <definedName name="test" localSheetId="0" hidden="1">{"DCF","UPSIDE CASE",FALSE,"Sheet1";"DCF","BASE CASE",FALSE,"Sheet1";"DCF","DOWNSIDE CASE",FALSE,"Sheet1"}</definedName>
    <definedName name="test" hidden="1">{"DCF","UPSIDE CASE",FALSE,"Sheet1";"DCF","BASE CASE",FALSE,"Sheet1";"DCF","DOWNSIDE CASE",FALSE,"Sheet1"}</definedName>
    <definedName name="textrefcopy07" hidden="1">7</definedName>
    <definedName name="TextRefCopyRangeCount" hidden="1">6</definedName>
    <definedName name="th" localSheetId="0" hidden="1">{#N/A,#N/A,FALSE,"dec98qtr";#N/A,#N/A,FALSE,"suppdecsep98";#N/A,#N/A,FALSE,"w-dec98"}</definedName>
    <definedName name="th" hidden="1">{#N/A,#N/A,FALSE,"dec98qtr";#N/A,#N/A,FALSE,"suppdecsep98";#N/A,#N/A,FALSE,"w-dec98"}</definedName>
    <definedName name="ThreadCost">#REF!</definedName>
    <definedName name="ThreadStitch">#REF!</definedName>
    <definedName name="titles">#REF!</definedName>
    <definedName name="ToBeShip">#REF!</definedName>
    <definedName name="Today_WIP">#REF!</definedName>
    <definedName name="Total_Amount_Charged">#REF!</definedName>
    <definedName name="Total_Compensation_Expense">#REF!</definedName>
    <definedName name="Total_Interest">#REF!</definedName>
    <definedName name="Total_Labor_Cost_Revenue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ConsumptionRs">#REF!</definedName>
    <definedName name="TotalMarkerEfficiency">#REF!</definedName>
    <definedName name="TotalShipments">#REF!</definedName>
    <definedName name="Tq">#REF!</definedName>
    <definedName name="TR" hidden="1">{#N/A,#N/A,TRUE,"R-3";#N/A,#N/A,TRUE,"R-3";#N/A,#N/A,TRUE,"R-3"}</definedName>
    <definedName name="Trailbalance">#REF!</definedName>
    <definedName name="TREE_INVEST">#REF!</definedName>
    <definedName name="Tripple_Dip">#REF!</definedName>
    <definedName name="trryt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ryt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1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iy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i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">#REF!</definedName>
    <definedName name="tttt456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45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77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7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E">#REF!</definedName>
    <definedName name="tuld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d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sy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s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RNOVER">#REF!</definedName>
    <definedName name="tv45s9">#REF!</definedName>
    <definedName name="TVT">#REF!</definedName>
    <definedName name="TwillLoad">#REF!</definedName>
    <definedName name="tyfo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yfo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ype" localSheetId="4">#REF!</definedName>
    <definedName name="type">#REF!</definedName>
    <definedName name="u">#REF!</definedName>
    <definedName name="U12V30">#REF!</definedName>
    <definedName name="u3x24">#REF!</definedName>
    <definedName name="u8t1">#REF!</definedName>
    <definedName name="u8w2">#REF!</definedName>
    <definedName name="u8w3">#REF!</definedName>
    <definedName name="uc56qn3">#REF!</definedName>
    <definedName name="Umair" localSheetId="0" hidden="1">#REF!</definedName>
    <definedName name="Umair" hidden="1">#REF!</definedName>
    <definedName name="UMER_FABRICS_LTD_UNIT_NO.1.">#REF!</definedName>
    <definedName name="UMER_FABRICS_LTD_UNIT_NO.2">#REF!</definedName>
    <definedName name="UNDRTKG" localSheetId="0" hidden="1">#REF!</definedName>
    <definedName name="UNDRTKG" hidden="1">#REF!</definedName>
    <definedName name="Unit">#REF!</definedName>
    <definedName name="Unit_Allocation">#REF!</definedName>
    <definedName name="Unit_Sales_Price">#REF!</definedName>
    <definedName name="UNPAD" localSheetId="0" hidden="1">#REF!</definedName>
    <definedName name="UNPAD" hidden="1">#REF!</definedName>
    <definedName name="uo8rs21">#REF!</definedName>
    <definedName name="up89s28">#REF!</definedName>
    <definedName name="ut12vq10">#REF!</definedName>
    <definedName name="uuqywtewq" localSheetId="0" hidden="1">{#N/A,#N/A,FALSE,"dec98qtr";#N/A,#N/A,FALSE,"suppdecsep98";#N/A,#N/A,FALSE,"w-dec98"}</definedName>
    <definedName name="uuqywtewq" hidden="1">{#N/A,#N/A,FALSE,"dec98qtr";#N/A,#N/A,FALSE,"suppdecsep98";#N/A,#N/A,FALSE,"w-dec98"}</definedName>
    <definedName name="UUU">#REF!</definedName>
    <definedName name="uuu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yj" localSheetId="0" hidden="1">{"Sales 2",#N/A,FALSE,"SALES";"Transfer 2",#N/A,FALSE,"TRANSFERS";"A1460",#N/A,FALSE,"A1460"}</definedName>
    <definedName name="uyj" hidden="1">{"Sales 2",#N/A,FALSE,"SALES";"Transfer 2",#N/A,FALSE,"TRANSFERS";"A1460",#N/A,FALSE,"A1460"}</definedName>
    <definedName name="v">#REF!</definedName>
    <definedName name="VAL_SUM">#REF!</definedName>
    <definedName name="valuation">#REF!</definedName>
    <definedName name="VALUE">#REF!</definedName>
    <definedName name="value_entered">#N/A</definedName>
    <definedName name="Values_Entered">IF(#REF!*#REF!*#REF!*#REF!&gt;0,1,0)</definedName>
    <definedName name="varbdg" localSheetId="0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varbdg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vcd" hidden="1">{"PL",#N/A,FALSE,"MRO"}</definedName>
    <definedName name="vehicles" localSheetId="0" hidden="1">#REF!</definedName>
    <definedName name="vehicles" hidden="1">#REF!</definedName>
    <definedName name="VERSION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EVA">#REF!</definedName>
    <definedName name="VJD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J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8nx2">#REF!</definedName>
    <definedName name="VO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lume">#REF!</definedName>
    <definedName name="vswgsghw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swgsghw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TM_10204" hidden="1">#REF!</definedName>
    <definedName name="vvv" localSheetId="0" hidden="1">{"DCF","UPSIDE CASE",FALSE,"Sheet1";"DCF","BASE CASE",FALSE,"Sheet1";"DCF","DOWNSIDE CASE",FALSE,"Sheet1"}</definedName>
    <definedName name="VVV">#REF!</definedName>
    <definedName name="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">#REF!</definedName>
    <definedName name="w45m9">#REF!</definedName>
    <definedName name="w6v40">#REF!</definedName>
    <definedName name="waqas" localSheetId="0" hidden="1">{#N/A,#N/A,FALSE,"Tuition FEE"}</definedName>
    <definedName name="waqas" hidden="1">{#N/A,#N/A,FALSE,"Tuition FEE"}</definedName>
    <definedName name="Warehouse">#REF!</definedName>
    <definedName name="Warehouse_Stock">#REF!</definedName>
    <definedName name="Washing">#REF!</definedName>
    <definedName name="WCR">#REF!</definedName>
    <definedName name="wdsolsdoiu" localSheetId="0" hidden="1">{#N/A,#N/A,FALSE,"Aging Summary";#N/A,#N/A,FALSE,"Ratio Analysis";#N/A,#N/A,FALSE,"Test 120 Day Accts";#N/A,#N/A,FALSE,"Tickmarks"}</definedName>
    <definedName name="wdsolsdoiu" hidden="1">{#N/A,#N/A,FALSE,"Aging Summary";#N/A,#N/A,FALSE,"Ratio Analysis";#N/A,#N/A,FALSE,"Test 120 Day Accts";#N/A,#N/A,FALSE,"Tickmarks"}</definedName>
    <definedName name="Week">#REF!</definedName>
    <definedName name="WEEKLY" hidden="1">{#N/A,#N/A,TRUE,"R-3";#N/A,#N/A,TRUE,"R-3";#N/A,#N/A,TRUE,"R-3"}</definedName>
    <definedName name="Weft_yarn_issue">#REF!</definedName>
    <definedName name="wert788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t788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we1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we1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trera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trera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H_Stock">#REF!</definedName>
    <definedName name="whatever" localSheetId="0" hidden="1">{"Fa",#N/A,FALSE,"F";"Fb",#N/A,FALSE,"F"}</definedName>
    <definedName name="whatever" hidden="1">{"Fa",#N/A,FALSE,"F";"Fb",#N/A,FALSE,"F"}</definedName>
    <definedName name="WindData">#REF!</definedName>
    <definedName name="WIP">#REF!</definedName>
    <definedName name="WIP_Accounts">#REF!</definedName>
    <definedName name="WIP_Movement">#REF!</definedName>
    <definedName name="WIP_Stock">#REF!</definedName>
    <definedName name="WITHOU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ITHOU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FP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F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RKING">#REF!</definedName>
    <definedName name="WP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qteuqyti" localSheetId="0" hidden="1">#REF!</definedName>
    <definedName name="wqteuqyti" hidden="1">#REF!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3." localSheetId="0" hidden="1">{#N/A,#N/A,FALSE,"dec98qtr";#N/A,#N/A,FALSE,"suppdecsep98";#N/A,#N/A,FALSE,"w-dec98"}</definedName>
    <definedName name="wrn.3." hidden="1">{#N/A,#N/A,FALSE,"dec98qtr";#N/A,#N/A,FALSE,"suppdecsep98";#N/A,#N/A,FALSE,"w-dec98"}</definedName>
    <definedName name="wrn.3._1_2" hidden="1">{#N/A,#N/A,FALSE,"dec98qtr";#N/A,#N/A,FALSE,"suppdecsep98";#N/A,#N/A,FALSE,"w-dec98"}</definedName>
    <definedName name="wrn.3._1_3" hidden="1">{#N/A,#N/A,FALSE,"dec98qtr";#N/A,#N/A,FALSE,"suppdecsep98";#N/A,#N/A,FALSE,"w-dec98"}</definedName>
    <definedName name="wrn.3._1_4" hidden="1">{#N/A,#N/A,FALSE,"dec98qtr";#N/A,#N/A,FALSE,"suppdecsep98";#N/A,#N/A,FALSE,"w-dec98"}</definedName>
    <definedName name="wrn.3._1_5" hidden="1">{#N/A,#N/A,FALSE,"dec98qtr";#N/A,#N/A,FALSE,"suppdecsep98";#N/A,#N/A,FALSE,"w-dec98"}</definedName>
    <definedName name="wrn.3._2" hidden="1">{#N/A,#N/A,FALSE,"dec98qtr";#N/A,#N/A,FALSE,"suppdecsep98";#N/A,#N/A,FALSE,"w-dec98"}</definedName>
    <definedName name="wrn.3._3" hidden="1">{#N/A,#N/A,FALSE,"dec98qtr";#N/A,#N/A,FALSE,"suppdecsep98";#N/A,#N/A,FALSE,"w-dec98"}</definedName>
    <definedName name="wrn.3._4" hidden="1">{#N/A,#N/A,FALSE,"dec98qtr";#N/A,#N/A,FALSE,"suppdecsep98";#N/A,#N/A,FALSE,"w-dec98"}</definedName>
    <definedName name="wrn.3._5" hidden="1">{#N/A,#N/A,FALSE,"dec98qtr";#N/A,#N/A,FALSE,"suppdecsep98";#N/A,#N/A,FALSE,"w-dec98"}</definedName>
    <definedName name="wrn.3YP." localSheetId="0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wrn.3YP.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D_INFO." hidden="1">{"ADD_INFO",#N/A,FALSE,"MRO"}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ESreport." localSheetId="0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ESreport.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I." localSheetId="0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nnual._.report." localSheetId="0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maturen." localSheetId="0" hidden="1">{"Armaturen",#N/A,FALSE,"Gesamt"}</definedName>
    <definedName name="wrn.Armaturen." hidden="1">{"Armaturen",#N/A,FALSE,"Gesamt"}</definedName>
    <definedName name="wrn.Armaturen._1" localSheetId="0" hidden="1">{"Armaturen",#N/A,FALSE,"Gesamt"}</definedName>
    <definedName name="wrn.Armaturen._1" hidden="1">{"Armaturen",#N/A,FALSE,"Gesamt"}</definedName>
    <definedName name="wrn.Armaturen._2" localSheetId="0" hidden="1">{"Armaturen",#N/A,FALSE,"Gesamt"}</definedName>
    <definedName name="wrn.Armaturen._2" hidden="1">{"Armaturen",#N/A,FALSE,"Gesamt"}</definedName>
    <definedName name="wrn.asif" localSheetId="0" hidden="1">{"MSS",#N/A,FALSE,"MSS";"ProdSA",#N/A,FALSE,"ProdSA";"Sales 1",#N/A,FALSE,"SALES";"Transfer 1",#N/A,FALSE,"TRANSFERS"}</definedName>
    <definedName name="wrn.asif" hidden="1">{"MSS",#N/A,FALSE,"MSS";"ProdSA",#N/A,FALSE,"ProdSA";"Sales 1",#N/A,FALSE,"SALES";"Transfer 1",#N/A,FALSE,"TRANSFERS"}</definedName>
    <definedName name="wrn.asif_1_2" hidden="1">{"MSS",#N/A,FALSE,"MSS";"ProdSA",#N/A,FALSE,"ProdSA";"Sales 1",#N/A,FALSE,"SALES";"Transfer 1",#N/A,FALSE,"TRANSFERS"}</definedName>
    <definedName name="wrn.asif_1_3" hidden="1">{"MSS",#N/A,FALSE,"MSS";"ProdSA",#N/A,FALSE,"ProdSA";"Sales 1",#N/A,FALSE,"SALES";"Transfer 1",#N/A,FALSE,"TRANSFERS"}</definedName>
    <definedName name="wrn.asif_1_4" hidden="1">{"MSS",#N/A,FALSE,"MSS";"ProdSA",#N/A,FALSE,"ProdSA";"Sales 1",#N/A,FALSE,"SALES";"Transfer 1",#N/A,FALSE,"TRANSFERS"}</definedName>
    <definedName name="wrn.asif_1_5" hidden="1">{"MSS",#N/A,FALSE,"MSS";"ProdSA",#N/A,FALSE,"ProdSA";"Sales 1",#N/A,FALSE,"SALES";"Transfer 1",#N/A,FALSE,"TRANSFERS"}</definedName>
    <definedName name="wrn.asif_2" hidden="1">{"MSS",#N/A,FALSE,"MSS";"ProdSA",#N/A,FALSE,"ProdSA";"Sales 1",#N/A,FALSE,"SALES";"Transfer 1",#N/A,FALSE,"TRANSFERS"}</definedName>
    <definedName name="wrn.asif_3" hidden="1">{"MSS",#N/A,FALSE,"MSS";"ProdSA",#N/A,FALSE,"ProdSA";"Sales 1",#N/A,FALSE,"SALES";"Transfer 1",#N/A,FALSE,"TRANSFERS"}</definedName>
    <definedName name="wrn.asif_4" hidden="1">{"MSS",#N/A,FALSE,"MSS";"ProdSA",#N/A,FALSE,"ProdSA";"Sales 1",#N/A,FALSE,"SALES";"Transfer 1",#N/A,FALSE,"TRANSFERS"}</definedName>
    <definedName name="wrn.asif_5" hidden="1">{"MSS",#N/A,FALSE,"MSS";"ProdSA",#N/A,FALSE,"ProdSA";"Sales 1",#N/A,FALSE,"SALES";"Transfer 1",#N/A,FALSE,"TRANSFERS"}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0" hidden="1">{"banks",#N/A,FALSE,"BASIC"}</definedName>
    <definedName name="wrn.bank._.model." hidden="1">{"banks",#N/A,FALSE,"BASIC"}</definedName>
    <definedName name="wrn.BDG." localSheetId="0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wrn.BDG.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wrn.BS." hidden="1">{"BS",#N/A,FALSE,"MRO"}</definedName>
    <definedName name="wrn.Calculations." localSheetId="0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alculations.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ellular." localSheetId="0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F." hidden="1">{"CF",#N/A,FALSE,"MRO"}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any._.A." localSheetId="0" hidden="1">{#N/A,#N/A,FALSE,"incomeA";#N/A,#N/A,FALSE,"scenariosA";#N/A,#N/A,FALSE,"marginsA";#N/A,#N/A,FALSE,"balanceA";#N/A,#N/A,FALSE,"cashflowA";#N/A,#N/A,FALSE,"ratiosa";#N/A,#N/A,FALSE,"depreciationA"}</definedName>
    <definedName name="wrn.Company._.A." hidden="1">{#N/A,#N/A,FALSE,"incomeA";#N/A,#N/A,FALSE,"scenariosA";#N/A,#N/A,FALSE,"marginsA";#N/A,#N/A,FALSE,"balanceA";#N/A,#N/A,FALSE,"cashflowA";#N/A,#N/A,FALSE,"ratiosa";#N/A,#N/A,FALSE,"depreciationA"}</definedName>
    <definedName name="wrn.Company._.B." localSheetId="0" hidden="1">{#N/A,#N/A,FALSE,"incomeA";#N/A,#N/A,FALSE,"scenariosA";#N/A,#N/A,FALSE,"marginsA";#N/A,#N/A,FALSE,"balanceA";#N/A,#N/A,FALSE,"cashflowA";#N/A,#N/A,FALSE,"ratiosa";#N/A,#N/A,FALSE,"depreciationA"}</definedName>
    <definedName name="wrn.Company._.B." hidden="1">{#N/A,#N/A,FALSE,"incomeA";#N/A,#N/A,FALSE,"scenariosA";#N/A,#N/A,FALSE,"marginsA";#N/A,#N/A,FALSE,"balanceA";#N/A,#N/A,FALSE,"cashflowA";#N/A,#N/A,FALSE,"ratiosa";#N/A,#N/A,FALSE,"depreciationA"}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ferred._.Fiscal." localSheetId="0" hidden="1">{"Deferred Fiscal",#N/A,FALSE,"Income"}</definedName>
    <definedName name="wrn.Deferred._.Fiscal." hidden="1">{"Deferred Fiscal",#N/A,FALSE,"Income"}</definedName>
    <definedName name="wrn.Drawings." localSheetId="0" hidden="1">{"DDC1",#N/A,FALSE,"I";"DDC2",#N/A,FALSE,"I"}</definedName>
    <definedName name="wrn.Drawings." hidden="1">{"DDC1",#N/A,FALSE,"I";"DDC2",#N/A,FALSE,"I"}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O." localSheetId="0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ternal." localSheetId="0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C." hidden="1">{"FC",#N/A,FALSE,"MRO"}</definedName>
    <definedName name="wrn.Finance." localSheetId="0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e.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XED._.ASSETS.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UJO._.CAJA." localSheetId="0" hidden="1">{"FLUJO DE CAJA",#N/A,FALSE,"Hoja1";"ANEXOS FLUJO",#N/A,FALSE,"Hoja1"}</definedName>
    <definedName name="wrn.FLUJO._.CAJA." hidden="1">{"FLUJO DE CAJA",#N/A,FALSE,"Hoja1";"ANEXOS FLUJO",#N/A,FALSE,"Hoja1"}</definedName>
    <definedName name="wrn.Full._.model." localSheetId="0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report." localSheetId="0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view." localSheetId="0" hidden="1">{"Full view",#N/A,FALSE,"Market view";"Full view",#N/A,FALSE,"Market view"}</definedName>
    <definedName name="wrn.Full._.view." hidden="1">{"Full view",#N/A,FALSE,"Market view";"Full view",#N/A,FALSE,"Market view"}</definedName>
    <definedName name="wrn.GANANCIAS._.Y._.PERDIDAS." localSheetId="0" hidden="1">{"GAN.Y PERD.RESUMIDO",#N/A,FALSE,"Hoja1";"GAN.Y PERD.DETALLADO",#N/A,FALSE,"Hoja1"}</definedName>
    <definedName name="wrn.GANANCIAS._.Y._.PERDIDAS." hidden="1">{"GAN.Y PERD.RESUMIDO",#N/A,FALSE,"Hoja1";"GAN.Y PERD.DETALLADO",#N/A,FALSE,"Hoja1"}</definedName>
    <definedName name="wrn.Global._.CompCo." localSheetId="0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nif." localSheetId="0" hidden="1">{"MSS",#N/A,FALSE,"MSS";"ProdSA",#N/A,FALSE,"ProdSA";"Sales 1",#N/A,FALSE,"SALES";"Transfer 1",#N/A,FALSE,"TRANSFERS"}</definedName>
    <definedName name="wrn.Hanif." hidden="1">{"MSS",#N/A,FALSE,"MSS";"ProdSA",#N/A,FALSE,"ProdSA";"Sales 1",#N/A,FALSE,"SALES";"Transfer 1",#N/A,FALSE,"TRANSFERS"}</definedName>
    <definedName name="wrn.Hanif._1_2" hidden="1">{"MSS",#N/A,FALSE,"MSS";"ProdSA",#N/A,FALSE,"ProdSA";"Sales 1",#N/A,FALSE,"SALES";"Transfer 1",#N/A,FALSE,"TRANSFERS"}</definedName>
    <definedName name="wrn.Hanif._1_3" hidden="1">{"MSS",#N/A,FALSE,"MSS";"ProdSA",#N/A,FALSE,"ProdSA";"Sales 1",#N/A,FALSE,"SALES";"Transfer 1",#N/A,FALSE,"TRANSFERS"}</definedName>
    <definedName name="wrn.Hanif._1_4" hidden="1">{"MSS",#N/A,FALSE,"MSS";"ProdSA",#N/A,FALSE,"ProdSA";"Sales 1",#N/A,FALSE,"SALES";"Transfer 1",#N/A,FALSE,"TRANSFERS"}</definedName>
    <definedName name="wrn.Hanif._1_5" hidden="1">{"MSS",#N/A,FALSE,"MSS";"ProdSA",#N/A,FALSE,"ProdSA";"Sales 1",#N/A,FALSE,"SALES";"Transfer 1",#N/A,FALSE,"TRANSFERS"}</definedName>
    <definedName name="wrn.Hanif._2" hidden="1">{"MSS",#N/A,FALSE,"MSS";"ProdSA",#N/A,FALSE,"ProdSA";"Sales 1",#N/A,FALSE,"SALES";"Transfer 1",#N/A,FALSE,"TRANSFERS"}</definedName>
    <definedName name="wrn.Hanif._3" hidden="1">{"MSS",#N/A,FALSE,"MSS";"ProdSA",#N/A,FALSE,"ProdSA";"Sales 1",#N/A,FALSE,"SALES";"Transfer 1",#N/A,FALSE,"TRANSFERS"}</definedName>
    <definedName name="wrn.Hanif._4" hidden="1">{"MSS",#N/A,FALSE,"MSS";"ProdSA",#N/A,FALSE,"ProdSA";"Sales 1",#N/A,FALSE,"SALES";"Transfer 1",#N/A,FALSE,"TRANSFERS"}</definedName>
    <definedName name="wrn.Hanif._5" hidden="1">{"MSS",#N/A,FALSE,"MSS";"ProdSA",#N/A,FALSE,"ProdSA";"Sales 1",#N/A,FALSE,"SALES";"Transfer 1",#N/A,FALSE,"TRANSFERS"}</definedName>
    <definedName name="wrn.Income._.Statement." localSheetId="0" hidden="1">{#N/A,#N/A,FALSE,"Report Print"}</definedName>
    <definedName name="wrn.Income._.Statement." hidden="1">{#N/A,#N/A,FALSE,"Report Print"}</definedName>
    <definedName name="wrn.INPUT.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A." localSheetId="0" hidden="1">{"Aa",#N/A,FALSE,"A"}</definedName>
    <definedName name="wrn.INPUTA." hidden="1">{"Aa",#N/A,FALSE,"A"}</definedName>
    <definedName name="wrn.INPUTB." localSheetId="0" hidden="1">{"Ba",#N/A,FALSE,"B"}</definedName>
    <definedName name="wrn.INPUTB." hidden="1">{"Ba",#N/A,FALSE,"B"}</definedName>
    <definedName name="wrn.INPUTC." localSheetId="0" hidden="1">{"Ca",#N/A,FALSE,"C";"Cb",#N/A,FALSE,"C";"Cc",#N/A,FALSE,"C";"Cd",#N/A,FALSE,"C";"Ce",#N/A,FALSE,"C"}</definedName>
    <definedName name="wrn.INPUTC." hidden="1">{"Ca",#N/A,FALSE,"C";"Cb",#N/A,FALSE,"C";"Cc",#N/A,FALSE,"C";"Cd",#N/A,FALSE,"C";"Ce",#N/A,FALSE,"C"}</definedName>
    <definedName name="wrn.INPUTD." localSheetId="0" hidden="1">{"Da",#N/A,FALSE,"D"}</definedName>
    <definedName name="wrn.INPUTD." hidden="1">{"Da",#N/A,FALSE,"D"}</definedName>
    <definedName name="wrn.INPUTE." localSheetId="0" hidden="1">{"Ea",#N/A,FALSE,"E"}</definedName>
    <definedName name="wrn.INPUTE." hidden="1">{"Ea",#N/A,FALSE,"E"}</definedName>
    <definedName name="wrn.INPUTF." localSheetId="0" hidden="1">{"Fa",#N/A,FALSE,"F";"Fb",#N/A,FALSE,"F"}</definedName>
    <definedName name="wrn.INPUTF." hidden="1">{"Fa",#N/A,FALSE,"F";"Fb",#N/A,FALSE,"F"}</definedName>
    <definedName name="wrn.INPUTG." localSheetId="0" hidden="1">{"Ga",#N/A,FALSE,"G"}</definedName>
    <definedName name="wrn.INPUTG." hidden="1">{"Ga",#N/A,FALSE,"G"}</definedName>
    <definedName name="wrn.INPUTH." localSheetId="0" hidden="1">{"Ha",#N/A,FALSE,"H";"Hb",#N/A,FALSE,"H"}</definedName>
    <definedName name="wrn.INPUTH." hidden="1">{"Ha",#N/A,FALSE,"H";"Hb",#N/A,FALSE,"H"}</definedName>
    <definedName name="wrn.INPUTI." localSheetId="0" hidden="1">{"Ia",#N/A,FALSE,"I";"Ib",#N/A,FALSE,"I"}</definedName>
    <definedName name="wrn.INPUTI." hidden="1">{"Ia",#N/A,FALSE,"I";"Ib",#N/A,FALSE,"I"}</definedName>
    <definedName name="wrn.INPUTJ." localSheetId="0" hidden="1">{"Ja",#N/A,FALSE,"J"}</definedName>
    <definedName name="wrn.INPUTJ." hidden="1">{"Ja",#N/A,FALSE,"J"}</definedName>
    <definedName name="wrn.INPUTK." localSheetId="0" hidden="1">{"Ka",#N/A,FALSE,"K"}</definedName>
    <definedName name="wrn.INPUTK." hidden="1">{"Ka",#N/A,FALSE,"K"}</definedName>
    <definedName name="wrn.Inputs." localSheetId="0" hidden="1">{"Inputs 1","Base",FALSE,"INPUTS";"Inputs 2","Base",FALSE,"INPUTS";"Inputs 3","Base",FALSE,"INPUTS";"Inputs 4","Base",FALSE,"INPUTS";"Inputs 5","Base",FALSE,"INPUTS"}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PIX." localSheetId="0" hidden="1">{#N/A,#N/A,FALSE,"Report Print"}</definedName>
    <definedName name="wrn.IPIX." hidden="1">{#N/A,#N/A,FALSE,"Report Print"}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S._.BS." localSheetId="0" hidden="1">{#N/A,#N/A,FALSE,"Income State.";#N/A,#N/A,FALSE,"B-S"}</definedName>
    <definedName name="wrn.IS._.BS." hidden="1">{#N/A,#N/A,FALSE,"Income State.";#N/A,#N/A,FALSE,"B-S"}</definedName>
    <definedName name="wrn.ITAX._.URB._.STTD." localSheetId="0" hidden="1">{"ITAX &amp; URB STTD",#N/A,FALSE,"Income"}</definedName>
    <definedName name="wrn.ITAX._.URB._.STTD." hidden="1">{"ITAX &amp; URB STTD",#N/A,FALSE,"Income"}</definedName>
    <definedName name="wrn.japanise." hidden="1">{#N/A,#N/A,TRUE,"R-3";#N/A,#N/A,TRUE,"R-3";#N/A,#N/A,TRUE,"R-3"}</definedName>
    <definedName name="wrn.KSB._.AG." localSheetId="0" hidden="1">{"KSB AG",#N/A,FALSE,"Gesamt"}</definedName>
    <definedName name="wrn.KSB._.AG." hidden="1">{"KSB AG",#N/A,FALSE,"Gesamt"}</definedName>
    <definedName name="wrn.KSB._.AG._1" localSheetId="0" hidden="1">{"KSB AG",#N/A,FALSE,"Gesamt"}</definedName>
    <definedName name="wrn.KSB._.AG._1" hidden="1">{"KSB AG",#N/A,FALSE,"Gesamt"}</definedName>
    <definedName name="wrn.KSB._.AG._2" localSheetId="0" hidden="1">{"KSB AG",#N/A,FALSE,"Gesamt"}</definedName>
    <definedName name="wrn.KSB._.AG._2" hidden="1">{"KSB AG",#N/A,FALSE,"Gesamt"}</definedName>
    <definedName name="wrn.KSB._.SA." localSheetId="0" hidden="1">{"KSB S.A.",#N/A,FALSE,"Gesamt"}</definedName>
    <definedName name="wrn.KSB._.SA." hidden="1">{"KSB S.A.",#N/A,FALSE,"Gesamt"}</definedName>
    <definedName name="wrn.KSB._.SA._1" localSheetId="0" hidden="1">{"KSB S.A.",#N/A,FALSE,"Gesamt"}</definedName>
    <definedName name="wrn.KSB._.SA._1" hidden="1">{"KSB S.A.",#N/A,FALSE,"Gesamt"}</definedName>
    <definedName name="wrn.KSB._.SA._2" localSheetId="0" hidden="1">{"KSB S.A.",#N/A,FALSE,"Gesamt"}</definedName>
    <definedName name="wrn.KSB._.SA._2" hidden="1">{"KSB S.A.",#N/A,FALSE,"Gesamt"}</definedName>
    <definedName name="wrn.LBO._.Summary." localSheetId="0" hidden="1">{"LBO Summary",#N/A,FALSE,"Summary"}</definedName>
    <definedName name="wrn.LBO._.Summary." hidden="1">{"LBO Summary",#N/A,FALSE,"Summary"}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0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enu." localSheetId="0" hidden="1">{"menu",#N/A,FALSE,"Menu"}</definedName>
    <definedName name="wrn.Menu." hidden="1">{"menu",#N/A,FALSE,"Menu"}</definedName>
    <definedName name="wrn.model." localSheetId="0" hidden="1">{"basic",#N/A,FALSE,"BASIC"}</definedName>
    <definedName name="wrn.model." hidden="1">{"basic",#N/A,FALSE,"BASIC"}</definedName>
    <definedName name="wrn.Modello." localSheetId="0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Modello.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Mohsin." localSheetId="0" hidden="1">{"Sales 2",#N/A,FALSE,"SALES";"Transfer 2",#N/A,FALSE,"TRANSFERS";"A1460",#N/A,FALSE,"A1460"}</definedName>
    <definedName name="wrn.Mohsin." hidden="1">{"Sales 2",#N/A,FALSE,"SALES";"Transfer 2",#N/A,FALSE,"TRANSFERS";"A1460",#N/A,FALSE,"A1460"}</definedName>
    <definedName name="wrn.Mohsin._1_2" hidden="1">{"Sales 2",#N/A,FALSE,"SALES";"Transfer 2",#N/A,FALSE,"TRANSFERS";"A1460",#N/A,FALSE,"A1460"}</definedName>
    <definedName name="wrn.Mohsin._1_3" hidden="1">{"Sales 2",#N/A,FALSE,"SALES";"Transfer 2",#N/A,FALSE,"TRANSFERS";"A1460",#N/A,FALSE,"A1460"}</definedName>
    <definedName name="wrn.Mohsin._1_4" hidden="1">{"Sales 2",#N/A,FALSE,"SALES";"Transfer 2",#N/A,FALSE,"TRANSFERS";"A1460",#N/A,FALSE,"A1460"}</definedName>
    <definedName name="wrn.Mohsin._1_5" hidden="1">{"Sales 2",#N/A,FALSE,"SALES";"Transfer 2",#N/A,FALSE,"TRANSFERS";"A1460",#N/A,FALSE,"A1460"}</definedName>
    <definedName name="wrn.Mohsin._2" hidden="1">{"Sales 2",#N/A,FALSE,"SALES";"Transfer 2",#N/A,FALSE,"TRANSFERS";"A1460",#N/A,FALSE,"A1460"}</definedName>
    <definedName name="wrn.Mohsin._3" hidden="1">{"Sales 2",#N/A,FALSE,"SALES";"Transfer 2",#N/A,FALSE,"TRANSFERS";"A1460",#N/A,FALSE,"A1460"}</definedName>
    <definedName name="wrn.Mohsin._4" hidden="1">{"Sales 2",#N/A,FALSE,"SALES";"Transfer 2",#N/A,FALSE,"TRANSFERS";"A1460",#N/A,FALSE,"A1460"}</definedName>
    <definedName name="wrn.Mohsin._5" hidden="1">{"Sales 2",#N/A,FALSE,"SALES";"Transfer 2",#N/A,FALSE,"TRANSFERS";"A1460",#N/A,FALSE,"A1460"}</definedName>
    <definedName name="wrn.Monthly._.Report." localSheetId="0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MRO." hidden="1">{"PL",#N/A,FALSE,"MRO";"CF",#N/A,FALSE,"MRO";"FC",#N/A,FALSE,"MRO";"BS",#N/A,FALSE,"MRO";"wc",#N/A,FALSE,"MRO";"RONA",#N/A,FALSE,"MRO";"VAR",#N/A,FALSE,"MRO";"ADD_INFO",#N/A,FALSE,"MRO"}</definedName>
    <definedName name="wrn.nuovo" localSheetId="0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nuovo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One." localSheetId="0" hidden="1">{"long","Base_Case",FALSE,"Assumptions";#N/A,#N/A,FALSE,"Acquiror";#N/A,#N/A,FALSE,"Acquisition";"One",#N/A,FALSE,"Bal Sheet";"Two",#N/A,FALSE,"Merged"}</definedName>
    <definedName name="wrn.One." hidden="1">{"long","Base_Case",FALSE,"Assumptions";#N/A,#N/A,FALSE,"Acquiror";#N/A,#N/A,FALSE,"Acquisition";"One",#N/A,FALSE,"Bal Sheet";"Two",#N/A,FALSE,"Merged"}</definedName>
    <definedName name="wrn.OPCALC." localSheetId="0" hidden="1">{"coa",#N/A,FALSE,"N";"cob",#N/A,FALSE,"N";"coc",#N/A,FALSE,"N";"cod",#N/A,FALSE,"N";"coe",#N/A,FALSE,"N";"cof",#N/A,FALSE,"N";"cog",#N/A,FALSE,"N";"coh",#N/A,FALSE,"N";"coi",#N/A,FALSE,"N"}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UT." localSheetId="0" hidden="1">{"Oa",#N/A,FALSE,"O";"Ob",#N/A,FALSE,"O";"Oc",#N/A,FALSE,"O";"Od",#N/A,FALSE,"O";"Oe",#N/A,FALSE,"O";"Of",#N/A,FALSE,"O";"Og",#N/A,FALSE,"O";"Oh",#N/A,FALSE,"O";"Oi",#N/A,FALSE,"O"}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ging." localSheetId="0" hidden="1">{"paging",#N/A,TRUE,"TITLE";#N/A,#N/A,TRUE,"Paging subs";#N/A,#N/A,TRUE,"P&amp;L - Paging";#N/A,#N/A,TRUE,"Rev &amp; Usage Assump - Paging";#N/A,#N/A,TRUE,"Cost - Paging";"paging",#N/A,TRUE,"Capex 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EWC1." localSheetId="0" hidden="1">{"Graphic",#N/A,TRUE,"Graphic"}</definedName>
    <definedName name="wrn.PEWC1." hidden="1">{"Graphic",#N/A,TRUE,"Graphic"}</definedName>
    <definedName name="wrn.PL." hidden="1">{"PL",#N/A,FALSE,"MRO"}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t." localSheetId="0" hidden="1">{#N/A,#N/A,FALSE,"Resid CPRIV";#N/A,#N/A,FALSE,"Comer_CPRIVKsum";#N/A,#N/A,FALSE,"General (2)";#N/A,#N/A,FALSE,"Oficial";#N/A,#N/A,FALSE,"Resumen";#N/A,#N/A,FALSE,"Escenarios"}</definedName>
    <definedName name="wrn.print." hidden="1">{#N/A,#N/A,FALSE,"Resid CPRIV";#N/A,#N/A,FALSE,"Comer_CPRIVKsum";#N/A,#N/A,FALSE,"General (2)";#N/A,#N/A,FALSE,"Oficial";#N/A,#N/A,FALSE,"Resumen";#N/A,#N/A,FALSE,"Escenarios"}</definedName>
    <definedName name="wrn.Print._.all." localSheetId="0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0" hidden="1">{#N/A,#N/A,TRUE,"Cover";#N/A,#N/A,TRUE,"Val Summary i";#N/A,#N/A,TRUE,"Value";#N/A,#N/A,TRUE,"Summary";#N/A,#N/A,TRUE,"Transactions"}</definedName>
    <definedName name="wrn.print2." hidden="1">{#N/A,#N/A,TRUE,"Cover";#N/A,#N/A,TRUE,"Val Summary i";#N/A,#N/A,TRUE,"Value";#N/A,#N/A,TRUE,"Summary";#N/A,#N/A,TRUE,"Transactions"}</definedName>
    <definedName name="wrn.Pumpen." localSheetId="0" hidden="1">{"Pumpen",#N/A,FALSE,"Gesamt"}</definedName>
    <definedName name="wrn.Pumpen." hidden="1">{"Pumpen",#N/A,FALSE,"Gesamt"}</definedName>
    <definedName name="wrn.Pumpen._1" localSheetId="0" hidden="1">{"Pumpen",#N/A,FALSE,"Gesamt"}</definedName>
    <definedName name="wrn.Pumpen._1" hidden="1">{"Pumpen",#N/A,FALSE,"Gesamt"}</definedName>
    <definedName name="wrn.Pumpen._2" localSheetId="0" hidden="1">{"Pumpen",#N/A,FALSE,"Gesamt"}</definedName>
    <definedName name="wrn.Pumpen._2" hidden="1">{"Pumpen",#N/A,FALSE,"Gesamt"}</definedName>
    <definedName name="wrn.RATIO." localSheetId="0" hidden="1">{"PAGE1",#N/A,FALSE,"Sheet1";"PAGE2",#N/A,FALSE,"Sheet1"}</definedName>
    <definedName name="wrn.RATIO." hidden="1">{"PAGE1",#N/A,FALSE,"Sheet1";"PAGE2",#N/A,FALSE,"Sheet1"}</definedName>
    <definedName name="wrn.rep_page." localSheetId="0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." localSheetId="0" hidden="1">{"Rep 1",#N/A,FALSE,"Reports";"Rep 2",#N/A,FALSE,"Reports";"Rep 3",#N/A,FALSE,"Reports";"Rep 4",#N/A,FALSE,"Reports"}</definedName>
    <definedName name="wrn.Report." hidden="1">{"Rep 1",#N/A,FALSE,"Reports";"Rep 2",#N/A,FALSE,"Reports";"Rep 3",#N/A,FALSE,"Reports";"Rep 4",#N/A,FALSE,"Reports"}</definedName>
    <definedName name="wrn.Report_Page." localSheetId="0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ONA." hidden="1">{"RONA",#N/A,FALSE,"MRO"}</definedName>
    <definedName name="wrn.RTS." localSheetId="0" hidden="1">{"rts",#N/A,TRUE,"TITLE";#N/A,#N/A,TRUE,"P&amp;L - RTS";#N/A,#N/A,TRUE,"RTS biz";#N/A,#N/A,TRUE,"Cost - RTS";"RTS",#N/A,TRUE,"Capex "}</definedName>
    <definedName name="wrn.RTS." hidden="1">{"rts",#N/A,TRUE,"TITLE";#N/A,#N/A,TRUE,"P&amp;L - RTS";#N/A,#N/A,TRUE,"RTS biz";#N/A,#N/A,TRUE,"Cost - RTS";"RTS",#N/A,TRUE,"Capex "}</definedName>
    <definedName name="wrn.SALARIOS._.PRESUPUESTO." localSheetId="0" hidden="1">{"SALARIOS",#N/A,FALSE,"Hoja3";"SUELDOS EMPLEADOS",#N/A,FALSE,"Hoja4";"SUELDOS EJECUTIVOS",#N/A,FALSE,"Hoja5"}</definedName>
    <definedName name="wrn.SALARIOS._.PRESUPUESTO." hidden="1">{"SALARIOS",#N/A,FALSE,"Hoja3";"SUELDOS EMPLEADOS",#N/A,FALSE,"Hoja4";"SUELDOS EJECUTIVOS",#N/A,FALSE,"Hoja5"}</definedName>
    <definedName name="wrn.Sales._.Reports." localSheetId="0" hidden="1">{#N/A,#N/A,FALSE,"NET SALES ";#N/A,#N/A,FALSE,"QUARTERLY SALES"}</definedName>
    <definedName name="wrn.Sales._.Reports." hidden="1">{#N/A,#N/A,FALSE,"NET SALES ";#N/A,#N/A,FALSE,"QUARTERLY SALES"}</definedName>
    <definedName name="wrn.Service." localSheetId="0" hidden="1">{"Service",#N/A,FALSE,"Gesamt"}</definedName>
    <definedName name="wrn.Service." hidden="1">{"Service",#N/A,FALSE,"Gesamt"}</definedName>
    <definedName name="wrn.Service._1" localSheetId="0" hidden="1">{"Service",#N/A,FALSE,"Gesamt"}</definedName>
    <definedName name="wrn.Service._1" hidden="1">{"Service",#N/A,FALSE,"Gesamt"}</definedName>
    <definedName name="wrn.Service._2" localSheetId="0" hidden="1">{"Service",#N/A,FALSE,"Gesamt"}</definedName>
    <definedName name="wrn.Service._2" hidden="1">{"Service",#N/A,FALSE,"Gesamt"}</definedName>
    <definedName name="wrn.SPK._.SALES._.N._.INVENTORY." localSheetId="0" hidden="1">{#N/A,#N/A,FALSE,"QUARTERLY SALES";#N/A,#N/A,FALSE,"NET SALES ";#N/A,#N/A,FALSE,"INVENTORY"}</definedName>
    <definedName name="wrn.SPK._.SALES._.N._.INVENTORY." hidden="1">{#N/A,#N/A,FALSE,"QUARTERLY SALES";#N/A,#N/A,FALSE,"NET SALES ";#N/A,#N/A,FALSE,"INVENTORY"}</definedName>
    <definedName name="wrn.STPLAN." localSheetId="0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wrn.STPLAN.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wrn.Sumatra." localSheetId="0" hidden="1">{#N/A,#N/A,TRUE,"Assumptions";#N/A,#N/A,TRUE,"Market";#N/A,#N/A,TRUE,"Capex";#N/A,#N/A,TRUE,"Opex";#N/A,#N/A,TRUE,"Tax";#N/A,#N/A,TRUE,"Outputs";#N/A,#N/A,TRUE,"Synergy";#N/A,#N/A,TRUE,"Ratios"}</definedName>
    <definedName name="wrn.Sumatra." hidden="1">{#N/A,#N/A,TRUE,"Assumptions";#N/A,#N/A,TRUE,"Market";#N/A,#N/A,TRUE,"Capex";#N/A,#N/A,TRUE,"Opex";#N/A,#N/A,TRUE,"Tax";#N/A,#N/A,TRUE,"Outputs";#N/A,#N/A,TRUE,"Synergy";#N/A,#N/A,TRUE,"Ratios"}</definedName>
    <definedName name="wrn.Summary." localSheetId="0" hidden="1">{"Section 1",#N/A,TRUE,"Summary";"Section 2",#N/A,TRUE,"Summary";"Section 3",#N/A,TRUE,"Summary";"Section 4",#N/A,TRUE,"Summary"}</definedName>
    <definedName name="wrn.Summary." hidden="1">{"Section 1",#N/A,TRUE,"Summary";"Section 2",#N/A,TRUE,"Summary";"Section 3",#N/A,TRUE,"Summary";"Section 4",#N/A,TRUE,"Summary"}</definedName>
    <definedName name="wrn.TARGENERATOR." localSheetId="0" hidden="1">{"Pa",#N/A,FALSE,"P"}</definedName>
    <definedName name="wrn.TARGENERATOR." hidden="1">{"Pa",#N/A,FALSE,"P"}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CHCALC." localSheetId="0" hidden="1">{"tc1",#N/A,FALSE,"L";"tc2",#N/A,FALSE,"L";"tc3",#N/A,FALSE,"L";"tc4",#N/A,FALSE,"L";"tc5",#N/A,FALSE,"L";"tc6",#N/A,FALSE,"L";"tc7",#N/A,FALSE,"L";"tc8",#N/A,FALSE,"L";"tc9",#N/A,FALSE,"L"}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lstra._.Inputs." localSheetId="0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0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s." localSheetId="0" hidden="1">{#N/A,#N/A,FALSE,"Tuition FEE"}</definedName>
    <definedName name="wrn.Totals." hidden="1">{#N/A,#N/A,FALSE,"Tuition FEE"}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wo." localSheetId="0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Two.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R." hidden="1">{"VAR",#N/A,FALSE,"MRO"}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C." hidden="1">{"wc",#N/A,FALSE,"MRO"}</definedName>
    <definedName name="wrn.이동무선." localSheetId="0" hidden="1">{#N/A,#N/A,TRUE,"이동무선";#N/A,#N/A,TRUE,"남10";#N/A,#N/A,TRUE,"여10";#N/A,#N/A,TRUE,"남20";#N/A,#N/A,TRUE,"여20";#N/A,#N/A,TRUE,"남30";#N/A,#N/A,TRUE,"여30";#N/A,#N/A,TRUE,"남40";#N/A,#N/A,TRUE,"여40";#N/A,#N/A,TRUE,"남50";#N/A,#N/A,TRUE,"여50";#N/A,#N/A,TRUE,"남60";#N/A,#N/A,TRUE,"여60"}</definedName>
    <definedName name="wrn.이동무선." hidden="1">{#N/A,#N/A,TRUE,"이동무선";#N/A,#N/A,TRUE,"남10";#N/A,#N/A,TRUE,"여10";#N/A,#N/A,TRUE,"남20";#N/A,#N/A,TRUE,"여20";#N/A,#N/A,TRUE,"남30";#N/A,#N/A,TRUE,"여30";#N/A,#N/A,TRUE,"남40";#N/A,#N/A,TRUE,"여40";#N/A,#N/A,TRUE,"남50";#N/A,#N/A,TRUE,"여50";#N/A,#N/A,TRUE,"남60";#N/A,#N/A,TRUE,"여60"}</definedName>
    <definedName name="wsd" localSheetId="0" hidden="1">{"MSS",#N/A,FALSE,"MSS";"ProdSA",#N/A,FALSE,"ProdSA";"Sales 1",#N/A,FALSE,"SALES";"Transfer 1",#N/A,FALSE,"TRANSFERS"}</definedName>
    <definedName name="wsd" hidden="1">{"MSS",#N/A,FALSE,"MSS";"ProdSA",#N/A,FALSE,"ProdSA";"Sales 1",#N/A,FALSE,"SALES";"Transfer 1",#N/A,FALSE,"TRANSFERS"}</definedName>
    <definedName name="Wsh_Bal">#REF!</definedName>
    <definedName name="WSMV">#REF!</definedName>
    <definedName name="WVCR">#REF!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WINTA." localSheetId="0" hidden="1">{TRUE,TRUE,0.25,-14,481.5,250.5,FALSE,TRUE,TRUE,TRUE,0,1,#N/A,23,#N/A,10.2380952380952,21.6153846153846,1,FALSE,FALSE,3,TRUE,1,FALSE,75,"Swvu.WINTA.","ACwvu.WINTA.",#N/A,FALSE,FALSE,0.25,0.25,0.66,0.74,1,"&amp;L&amp;""Times New Roman,Bold""Attention: The Managing Director                   MLCFL, Lahore.","&amp;C&amp;""Times New Roman,Bold""P&amp;&amp;L499.XLS      &amp;D         &amp;T",TRUE,FALSE,FALSE,FALSE,1,100,#N/A,#N/A,"=R1C1:R52C9",FALSE,#N/A,#N/A,FALSE,FALSE,FALSE,1,180,180,FALSE,FALSE,TRUE,TRUE,TRUE}</definedName>
    <definedName name="wvu.WINTA." hidden="1">{TRUE,TRUE,0.25,-14,481.5,250.5,FALSE,TRUE,TRUE,TRUE,0,1,#N/A,23,#N/A,10.2380952380952,21.6153846153846,1,FALSE,FALSE,3,TRUE,1,FALSE,75,"Swvu.WINTA.","ACwvu.WINTA.",#N/A,FALSE,FALSE,0.25,0.25,0.66,0.74,1,"&amp;L&amp;""Times New Roman,Bold""Attention: The Managing Director                   MLCFL, Lahore.","&amp;C&amp;""Times New Roman,Bold""P&amp;&amp;L499.XLS      &amp;D         &amp;T",TRUE,FALSE,FALSE,FALSE,1,100,#N/A,#N/A,"=R1C1:R52C9",FALSE,#N/A,#N/A,FALSE,FALSE,FALSE,1,180,180,FALSE,FALSE,TRUE,TRUE,TRUE}</definedName>
    <definedName name="WW0a640d1bcf5e4d868e74d5c85585a88c_634642936225000000" localSheetId="0" hidden="1">#REF!</definedName>
    <definedName name="WW0a640d1bcf5e4d868e74d5c85585a88c_634642936225000000" hidden="1">#REF!</definedName>
    <definedName name="WW0a640d1bcf5e4d868e74d5c85585a88c_634642941059375000" localSheetId="0" hidden="1">#REF!</definedName>
    <definedName name="WW0a640d1bcf5e4d868e74d5c85585a88c_634642941059375000" hidden="1">#REF!</definedName>
    <definedName name="WW139f4c47227a42d5b6d9fc7b7cd3027a_873" localSheetId="0" hidden="1">#REF!</definedName>
    <definedName name="WW139f4c47227a42d5b6d9fc7b7cd3027a_873" hidden="1">#REF!</definedName>
    <definedName name="WW1ba7a2427f7440aabd41610beb60bbe8_14CA" localSheetId="0" hidden="1">#REF!</definedName>
    <definedName name="WW1ba7a2427f7440aabd41610beb60bbe8_14CA" hidden="1">#REF!</definedName>
    <definedName name="WW1ba7a2427f7440aabd41610beb60bbe8_197C" localSheetId="0" hidden="1">#REF!</definedName>
    <definedName name="WW1ba7a2427f7440aabd41610beb60bbe8_197C" hidden="1">#REF!</definedName>
    <definedName name="WW1ba7a2427f7440aabd41610beb60bbe8_4267" localSheetId="0" hidden="1">#REF!</definedName>
    <definedName name="WW1ba7a2427f7440aabd41610beb60bbe8_4267" hidden="1">#REF!</definedName>
    <definedName name="WW1d69aadde2ab483aaeb899c2e3f4353f_D5E" localSheetId="0" hidden="1">#REF!</definedName>
    <definedName name="WW1d69aadde2ab483aaeb899c2e3f4353f_D5E" hidden="1">#REF!</definedName>
    <definedName name="WW1ea9f5fcc6fb4a0ba4c3abbd6ace4809_634618998429531250" hidden="1">#REF!</definedName>
    <definedName name="WW30338649bf784cc2ab388835e2ab5f4f_4A5E" localSheetId="0" hidden="1">#REF!</definedName>
    <definedName name="WW30338649bf784cc2ab388835e2ab5f4f_4A5E" hidden="1">#REF!</definedName>
    <definedName name="WW30338649bf784cc2ab388835e2ab5f4f_B40" localSheetId="0" hidden="1">#REF!</definedName>
    <definedName name="WW30338649bf784cc2ab388835e2ab5f4f_B40" hidden="1">#REF!</definedName>
    <definedName name="WW30338649bf784cc2ab388835e2ab5f4f_D8E2" localSheetId="0" hidden="1">#REF!</definedName>
    <definedName name="WW30338649bf784cc2ab388835e2ab5f4f_D8E2" hidden="1">#REF!</definedName>
    <definedName name="WW34be68bf61de4227b1282f0e7bf3d67e_634630331266718750" localSheetId="0" hidden="1">#REF!</definedName>
    <definedName name="WW34be68bf61de4227b1282f0e7bf3d67e_634630331266718750" hidden="1">#REF!</definedName>
    <definedName name="WW34be68bf61de4227b1282f0e7bf3d67e_634641531847187500" localSheetId="0" hidden="1">#REF!</definedName>
    <definedName name="WW34be68bf61de4227b1282f0e7bf3d67e_634641531847187500" hidden="1">#REF!</definedName>
    <definedName name="WW34be68bf61de4227b1282f0e7bf3d67e_634641534964375000" localSheetId="0" hidden="1">#REF!</definedName>
    <definedName name="WW34be68bf61de4227b1282f0e7bf3d67e_634641534964375000" hidden="1">#REF!</definedName>
    <definedName name="WW37ea6099d79b442d8911ee8dacc5e795_634642342638437500" localSheetId="0" hidden="1">#REF!</definedName>
    <definedName name="WW37ea6099d79b442d8911ee8dacc5e795_634642342638437500" hidden="1">#REF!</definedName>
    <definedName name="WW37ea6099d79b442d8911ee8dacc5e795_634642361326562500" localSheetId="0" hidden="1">#REF!</definedName>
    <definedName name="WW37ea6099d79b442d8911ee8dacc5e795_634642361326562500" hidden="1">#REF!</definedName>
    <definedName name="WW37ea6099d79b442d8911ee8dacc5e795_634642367335937500" localSheetId="0" hidden="1">#REF!</definedName>
    <definedName name="WW37ea6099d79b442d8911ee8dacc5e795_634642367335937500" hidden="1">#REF!</definedName>
    <definedName name="WW37ea6099d79b442d8911ee8dacc5e795_634642374834218750" localSheetId="0" hidden="1">#REF!</definedName>
    <definedName name="WW37ea6099d79b442d8911ee8dacc5e795_634642374834218750" hidden="1">#REF!</definedName>
    <definedName name="WW37ea6099d79b442d8911ee8dacc5e795_634642377395156250" localSheetId="0" hidden="1">#REF!</definedName>
    <definedName name="WW37ea6099d79b442d8911ee8dacc5e795_634642377395156250" hidden="1">#REF!</definedName>
    <definedName name="WW37ea6099d79b442d8911ee8dacc5e795_634642394760468750" localSheetId="0" hidden="1">#REF!</definedName>
    <definedName name="WW37ea6099d79b442d8911ee8dacc5e795_634642394760468750" hidden="1">#REF!</definedName>
    <definedName name="WW37ea6099d79b442d8911ee8dacc5e795_634642394808906250" localSheetId="0" hidden="1">#REF!</definedName>
    <definedName name="WW37ea6099d79b442d8911ee8dacc5e795_634642394808906250" hidden="1">#REF!</definedName>
    <definedName name="WW37ea6099d79b442d8911ee8dacc5e795_634642399848750000" localSheetId="0" hidden="1">#REF!</definedName>
    <definedName name="WW37ea6099d79b442d8911ee8dacc5e795_634642399848750000" hidden="1">#REF!</definedName>
    <definedName name="WW37ea6099d79b442d8911ee8dacc5e795_634642408449531250" localSheetId="0" hidden="1">#REF!</definedName>
    <definedName name="WW37ea6099d79b442d8911ee8dacc5e795_634642408449531250" hidden="1">#REF!</definedName>
    <definedName name="WW38241cc2b21d4b15b602d68196914531_870" localSheetId="0" hidden="1">#REF!</definedName>
    <definedName name="WW38241cc2b21d4b15b602d68196914531_870" hidden="1">#REF!</definedName>
    <definedName name="WW4b19253b4ed140e7be9f6887475141b4_634639027572187500" localSheetId="0" hidden="1">#REF!</definedName>
    <definedName name="WW4b19253b4ed140e7be9f6887475141b4_634639027572187500" hidden="1">#REF!</definedName>
    <definedName name="WW4b47e14ccc194d138ec91e0b29539e47_634650271784062500" localSheetId="0" hidden="1">#REF!</definedName>
    <definedName name="WW4b47e14ccc194d138ec91e0b29539e47_634650271784062500" hidden="1">#REF!</definedName>
    <definedName name="WW4b47e14ccc194d138ec91e0b29539e47_634650283018750000" localSheetId="0" hidden="1">#REF!</definedName>
    <definedName name="WW4b47e14ccc194d138ec91e0b29539e47_634650283018750000" hidden="1">#REF!</definedName>
    <definedName name="WW4f5da349c50947c6803d3cc2f7242eef_F87B" localSheetId="0" hidden="1">#REF!</definedName>
    <definedName name="WW4f5da349c50947c6803d3cc2f7242eef_F87B" hidden="1">#REF!</definedName>
    <definedName name="WW57052086c83942b5b732124c64dcc5eb_634601073148593750" localSheetId="0" hidden="1">#REF!</definedName>
    <definedName name="WW57052086c83942b5b732124c64dcc5eb_634601073148593750" hidden="1">#REF!</definedName>
    <definedName name="WW5c942796a3d6403ea7bce9f2c994204b_634644044944531250" localSheetId="0" hidden="1">#REF!</definedName>
    <definedName name="WW5c942796a3d6403ea7bce9f2c994204b_634644044944531250" hidden="1">#REF!</definedName>
    <definedName name="WW5c942796a3d6403ea7bce9f2c994204b_634644047509687500" localSheetId="0" hidden="1">#REF!</definedName>
    <definedName name="WW5c942796a3d6403ea7bce9f2c994204b_634644047509687500" hidden="1">#REF!</definedName>
    <definedName name="WW5c942796a3d6403ea7bce9f2c994204b_634644086170000000" localSheetId="0" hidden="1">#REF!</definedName>
    <definedName name="WW5c942796a3d6403ea7bce9f2c994204b_634644086170000000" hidden="1">#REF!</definedName>
    <definedName name="WW5c942796a3d6403ea7bce9f2c994204b_634644086313593750" localSheetId="0" hidden="1">#REF!</definedName>
    <definedName name="WW5c942796a3d6403ea7bce9f2c994204b_634644086313593750" hidden="1">#REF!</definedName>
    <definedName name="WW5c942796a3d6403ea7bce9f2c994204b_634644092391093750" localSheetId="0" hidden="1">#REF!</definedName>
    <definedName name="WW5c942796a3d6403ea7bce9f2c994204b_634644092391093750" hidden="1">#REF!</definedName>
    <definedName name="WW63047803123449a8bc20c5f554ef1e70_634484008779843750" localSheetId="0" hidden="1">#REF!</definedName>
    <definedName name="WW63047803123449a8bc20c5f554ef1e70_634484008779843750" hidden="1">#REF!</definedName>
    <definedName name="WW63047803123449a8bc20c5f554ef1e70_634488363127968750" localSheetId="0" hidden="1">#REF!</definedName>
    <definedName name="WW63047803123449a8bc20c5f554ef1e70_634488363127968750" hidden="1">#REF!</definedName>
    <definedName name="WW71efe531f3714d5699e5c4fd2c7d372f_634618875195468750" localSheetId="0" hidden="1">#REF!</definedName>
    <definedName name="WW71efe531f3714d5699e5c4fd2c7d372f_634618875195468750" hidden="1">#REF!</definedName>
    <definedName name="WW71efe531f3714d5699e5c4fd2c7d372f_634618911193437500" localSheetId="0" hidden="1">#REF!</definedName>
    <definedName name="WW71efe531f3714d5699e5c4fd2c7d372f_634618911193437500" hidden="1">#REF!</definedName>
    <definedName name="WW71efe531f3714d5699e5c4fd2c7d372f_634618922775156250" localSheetId="0" hidden="1">#REF!</definedName>
    <definedName name="WW71efe531f3714d5699e5c4fd2c7d372f_634618922775156250" hidden="1">#REF!</definedName>
    <definedName name="WW71efe531f3714d5699e5c4fd2c7d372f_634618934758437500" localSheetId="0" hidden="1">#REF!</definedName>
    <definedName name="WW71efe531f3714d5699e5c4fd2c7d372f_634618934758437500" hidden="1">#REF!</definedName>
    <definedName name="WW71efe531f3714d5699e5c4fd2c7d372f_634618937494531250" localSheetId="0" hidden="1">#REF!</definedName>
    <definedName name="WW71efe531f3714d5699e5c4fd2c7d372f_634618937494531250" hidden="1">#REF!</definedName>
    <definedName name="WW71efe531f3714d5699e5c4fd2c7d372f_634618940583125000" localSheetId="0" hidden="1">#REF!</definedName>
    <definedName name="WW71efe531f3714d5699e5c4fd2c7d372f_634618940583125000" hidden="1">#REF!</definedName>
    <definedName name="WW71efe531f3714d5699e5c4fd2c7d372f_634618942033281250" localSheetId="0" hidden="1">#REF!</definedName>
    <definedName name="WW71efe531f3714d5699e5c4fd2c7d372f_634618942033281250" hidden="1">#REF!</definedName>
    <definedName name="WW71efe531f3714d5699e5c4fd2c7d372f_634618947939375000" localSheetId="0" hidden="1">#REF!</definedName>
    <definedName name="WW71efe531f3714d5699e5c4fd2c7d372f_634618947939375000" hidden="1">#REF!</definedName>
    <definedName name="WW71efe531f3714d5699e5c4fd2c7d372f_634618954515312500" localSheetId="0" hidden="1">#REF!</definedName>
    <definedName name="WW71efe531f3714d5699e5c4fd2c7d372f_634618954515312500" hidden="1">#REF!</definedName>
    <definedName name="WW71efe531f3714d5699e5c4fd2c7d372f_634618958612187500" localSheetId="0" hidden="1">#REF!</definedName>
    <definedName name="WW71efe531f3714d5699e5c4fd2c7d372f_634618958612187500" hidden="1">#REF!</definedName>
    <definedName name="WW71efe531f3714d5699e5c4fd2c7d372f_634618965099531250" localSheetId="0" hidden="1">#REF!</definedName>
    <definedName name="WW71efe531f3714d5699e5c4fd2c7d372f_634618965099531250" hidden="1">#REF!</definedName>
    <definedName name="WW76b8aa355b0a4e9283ea06edf1efd36f_87B" localSheetId="0" hidden="1">#REF!</definedName>
    <definedName name="WW76b8aa355b0a4e9283ea06edf1efd36f_87B" hidden="1">#REF!</definedName>
    <definedName name="WW8d8b1cd86b2f471b9ed9fe11154e9200_634349211339687500" localSheetId="0" hidden="1">#REF!</definedName>
    <definedName name="WW8d8b1cd86b2f471b9ed9fe11154e9200_634349211339687500" hidden="1">#REF!</definedName>
    <definedName name="WW8d8b1cd86b2f471b9ed9fe11154e9200_634349215849843750" localSheetId="0" hidden="1">#REF!</definedName>
    <definedName name="WW8d8b1cd86b2f471b9ed9fe11154e9200_634349215849843750" hidden="1">#REF!</definedName>
    <definedName name="WW8d8b1cd86b2f471b9ed9fe11154e9200_634349252740625000" localSheetId="0" hidden="1">#REF!</definedName>
    <definedName name="WW8d8b1cd86b2f471b9ed9fe11154e9200_634349252740625000" hidden="1">#REF!</definedName>
    <definedName name="WW8d8b1cd86b2f471b9ed9fe11154e9200_634349252846093750" localSheetId="0" hidden="1">#REF!</definedName>
    <definedName name="WW8d8b1cd86b2f471b9ed9fe11154e9200_634349252846093750" hidden="1">#REF!</definedName>
    <definedName name="WW8d8b1cd86b2f471b9ed9fe11154e9200_634349253063281250" localSheetId="0" hidden="1">#REF!</definedName>
    <definedName name="WW8d8b1cd86b2f471b9ed9fe11154e9200_634349253063281250" hidden="1">#REF!</definedName>
    <definedName name="WW8d8b1cd86b2f471b9ed9fe11154e9200_634352899122187500" localSheetId="0" hidden="1">#REF!</definedName>
    <definedName name="WW8d8b1cd86b2f471b9ed9fe11154e9200_634352899122187500" hidden="1">#REF!</definedName>
    <definedName name="WWa77bd1ad9cc444bd9ad0720d8f6b1661_634650715530000000" localSheetId="0" hidden="1">#REF!</definedName>
    <definedName name="WWa77bd1ad9cc444bd9ad0720d8f6b1661_634650715530000000" hidden="1">#REF!</definedName>
    <definedName name="WWa94768bb52a44ab28a1e040054fc5af1_634643827727812500" localSheetId="0" hidden="1">#REF!</definedName>
    <definedName name="WWa94768bb52a44ab28a1e040054fc5af1_634643827727812500" hidden="1">#REF!</definedName>
    <definedName name="WWa94768bb52a44ab28a1e040054fc5af1_634643984621718750" localSheetId="0" hidden="1">#REF!</definedName>
    <definedName name="WWa94768bb52a44ab28a1e040054fc5af1_634643984621718750" hidden="1">#REF!</definedName>
    <definedName name="WWc38fcb57b75a4ea0854d9781f5d0af51_2D3A" localSheetId="0" hidden="1">#REF!</definedName>
    <definedName name="WWc38fcb57b75a4ea0854d9781f5d0af51_2D3A" hidden="1">#REF!</definedName>
    <definedName name="WWc38fcb57b75a4ea0854d9781f5d0af51_43BF" localSheetId="0" hidden="1">#REF!</definedName>
    <definedName name="WWc38fcb57b75a4ea0854d9781f5d0af51_43BF" hidden="1">#REF!</definedName>
    <definedName name="WWc38fcb57b75a4ea0854d9781f5d0af51_4E62" localSheetId="0" hidden="1">#REF!</definedName>
    <definedName name="WWc38fcb57b75a4ea0854d9781f5d0af51_4E62" hidden="1">#REF!</definedName>
    <definedName name="WWc38fcb57b75a4ea0854d9781f5d0af51_5FFB" localSheetId="0" hidden="1">#REF!</definedName>
    <definedName name="WWc38fcb57b75a4ea0854d9781f5d0af51_5FFB" hidden="1">#REF!</definedName>
    <definedName name="WWc38fcb57b75a4ea0854d9781f5d0af51_6521" localSheetId="0" hidden="1">#REF!</definedName>
    <definedName name="WWc38fcb57b75a4ea0854d9781f5d0af51_6521" hidden="1">#REF!</definedName>
    <definedName name="WWc38fcb57b75a4ea0854d9781f5d0af51_A495" localSheetId="0" hidden="1">#REF!</definedName>
    <definedName name="WWc38fcb57b75a4ea0854d9781f5d0af51_A495" hidden="1">#REF!</definedName>
    <definedName name="WWc38fcb57b75a4ea0854d9781f5d0af51_C4CF" localSheetId="0" hidden="1">#REF!</definedName>
    <definedName name="WWc38fcb57b75a4ea0854d9781f5d0af51_C4CF" hidden="1">#REF!</definedName>
    <definedName name="WWc38fcb57b75a4ea0854d9781f5d0af51_E981" localSheetId="0" hidden="1">#REF!</definedName>
    <definedName name="WWc38fcb57b75a4ea0854d9781f5d0af51_E981" hidden="1">#REF!</definedName>
    <definedName name="WWcba7466334394c838d1ea8bd018eb07b_634649867438281250" localSheetId="0" hidden="1">#REF!</definedName>
    <definedName name="WWcba7466334394c838d1ea8bd018eb07b_634649867438281250" hidden="1">#REF!</definedName>
    <definedName name="WWcba7466334394c838d1ea8bd018eb07b_634649920969375000" localSheetId="0" hidden="1">#REF!</definedName>
    <definedName name="WWcba7466334394c838d1ea8bd018eb07b_634649920969375000" hidden="1">#REF!</definedName>
    <definedName name="WWcba7466334394c838d1ea8bd018eb07b_634649993805468750" localSheetId="0" hidden="1">#REF!</definedName>
    <definedName name="WWcba7466334394c838d1ea8bd018eb07b_634649993805468750" hidden="1">#REF!</definedName>
    <definedName name="WWdc42c85e4f9346829467ecb87c32efdd_2DF5" localSheetId="0" hidden="1">#REF!</definedName>
    <definedName name="WWdc42c85e4f9346829467ecb87c32efdd_2DF5" hidden="1">#REF!</definedName>
    <definedName name="WWdc42c85e4f9346829467ecb87c32efdd_3F6C" localSheetId="0" hidden="1">#REF!</definedName>
    <definedName name="WWdc42c85e4f9346829467ecb87c32efdd_3F6C" hidden="1">#REF!</definedName>
    <definedName name="WWdc42c85e4f9346829467ecb87c32efdd_C09C" localSheetId="0" hidden="1">#REF!</definedName>
    <definedName name="WWdc42c85e4f9346829467ecb87c32efdd_C09C" hidden="1">#REF!</definedName>
    <definedName name="WWdc42c85e4f9346829467ecb87c32efdd_CEDD" localSheetId="0" hidden="1">#REF!</definedName>
    <definedName name="WWdc42c85e4f9346829467ecb87c32efdd_CEDD" hidden="1">#REF!</definedName>
    <definedName name="WWe0ceebf9d0934d9cb0afe33c23d48ac2_634641520392187500" localSheetId="0" hidden="1">#REF!</definedName>
    <definedName name="WWe0ceebf9d0934d9cb0afe33c23d48ac2_634641520392187500" hidden="1">#REF!</definedName>
    <definedName name="WWe0ceebf9d0934d9cb0afe33c23d48ac2_634641520672187500" localSheetId="0" hidden="1">#REF!</definedName>
    <definedName name="WWe0ceebf9d0934d9cb0afe33c23d48ac2_634641520672187500" hidden="1">#REF!</definedName>
    <definedName name="WWe0ceebf9d0934d9cb0afe33c23d48ac2_634642941136718750" localSheetId="0" hidden="1">#REF!</definedName>
    <definedName name="WWe0ceebf9d0934d9cb0afe33c23d48ac2_634642941136718750" hidden="1">#REF!</definedName>
    <definedName name="WWe0ceebf9d0934d9cb0afe33c23d48ac2_634642944962187500" localSheetId="0" hidden="1">#REF!</definedName>
    <definedName name="WWe0ceebf9d0934d9cb0afe33c23d48ac2_634642944962187500" hidden="1">#REF!</definedName>
    <definedName name="WWf88a2f7db64d4dc2bdeaacc380d96c98_634628453104375000" localSheetId="0" hidden="1">#REF!</definedName>
    <definedName name="WWf88a2f7db64d4dc2bdeaacc380d96c98_634628453104375000" hidden="1">#REF!</definedName>
    <definedName name="WWf88a2f7db64d4dc2bdeaacc380d96c98_634628457134062500" localSheetId="0" hidden="1">#REF!</definedName>
    <definedName name="WWf88a2f7db64d4dc2bdeaacc380d96c98_634628457134062500" hidden="1">#REF!</definedName>
    <definedName name="WWf88a2f7db64d4dc2bdeaacc380d96c98_634628457788437500" localSheetId="0" hidden="1">#REF!</definedName>
    <definedName name="WWf88a2f7db64d4dc2bdeaacc380d96c98_634628457788437500" hidden="1">#REF!</definedName>
    <definedName name="WWf88a2f7db64d4dc2bdeaacc380d96c98_634628458448437500" localSheetId="0" hidden="1">#REF!</definedName>
    <definedName name="WWf88a2f7db64d4dc2bdeaacc380d96c98_634628458448437500" hidden="1">#REF!</definedName>
    <definedName name="WWf88a2f7db64d4dc2bdeaacc380d96c98_634628464552500000" localSheetId="0" hidden="1">#REF!</definedName>
    <definedName name="WWf88a2f7db64d4dc2bdeaacc380d96c98_634628464552500000" hidden="1">#REF!</definedName>
    <definedName name="WWf88a2f7db64d4dc2bdeaacc380d96c98_634628465551406250" localSheetId="0" hidden="1">#REF!</definedName>
    <definedName name="WWf88a2f7db64d4dc2bdeaacc380d96c98_634628465551406250" hidden="1">#REF!</definedName>
    <definedName name="WWf88a2f7db64d4dc2bdeaacc380d96c98_634628468225312500" localSheetId="0" hidden="1">#REF!</definedName>
    <definedName name="WWf88a2f7db64d4dc2bdeaacc380d96c98_634628468225312500" hidden="1">#REF!</definedName>
    <definedName name="WWf88a2f7db64d4dc2bdeaacc380d96c98_634628468672968750" localSheetId="0" hidden="1">#REF!</definedName>
    <definedName name="WWf88a2f7db64d4dc2bdeaacc380d96c98_634628468672968750" hidden="1">#REF!</definedName>
    <definedName name="WWf88a2f7db64d4dc2bdeaacc380d96c98_634628469155000000" localSheetId="0" hidden="1">#REF!</definedName>
    <definedName name="WWf88a2f7db64d4dc2bdeaacc380d96c98_634628469155000000" hidden="1">#REF!</definedName>
    <definedName name="WWf88a2f7db64d4dc2bdeaacc380d96c98_634628469779843750" localSheetId="0" hidden="1">#REF!</definedName>
    <definedName name="WWf88a2f7db64d4dc2bdeaacc380d96c98_634628469779843750" hidden="1">#REF!</definedName>
    <definedName name="WWf88a2f7db64d4dc2bdeaacc380d96c98_634628470910625000" localSheetId="0" hidden="1">#REF!</definedName>
    <definedName name="WWf88a2f7db64d4dc2bdeaacc380d96c98_634628470910625000" hidden="1">#REF!</definedName>
    <definedName name="WWW">#REF!</definedName>
    <definedName name="WWW_1_2" hidden="1">{#N/A,#N/A,FALSE,"dec98qtr";#N/A,#N/A,FALSE,"suppdecsep98";#N/A,#N/A,FALSE,"w-dec98"}</definedName>
    <definedName name="WWW_1_3" hidden="1">{#N/A,#N/A,FALSE,"dec98qtr";#N/A,#N/A,FALSE,"suppdecsep98";#N/A,#N/A,FALSE,"w-dec98"}</definedName>
    <definedName name="WWW_1_4" hidden="1">{#N/A,#N/A,FALSE,"dec98qtr";#N/A,#N/A,FALSE,"suppdecsep98";#N/A,#N/A,FALSE,"w-dec98"}</definedName>
    <definedName name="WWW_1_5" hidden="1">{#N/A,#N/A,FALSE,"dec98qtr";#N/A,#N/A,FALSE,"suppdecsep98";#N/A,#N/A,FALSE,"w-dec98"}</definedName>
    <definedName name="WWW_3" hidden="1">{#N/A,#N/A,FALSE,"dec98qtr";#N/A,#N/A,FALSE,"suppdecsep98";#N/A,#N/A,FALSE,"w-dec98"}</definedName>
    <definedName name="WWW_4" hidden="1">{#N/A,#N/A,FALSE,"dec98qtr";#N/A,#N/A,FALSE,"suppdecsep98";#N/A,#N/A,FALSE,"w-dec98"}</definedName>
    <definedName name="WWW_5" hidden="1">{#N/A,#N/A,FALSE,"dec98qtr";#N/A,#N/A,FALSE,"suppdecsep98";#N/A,#N/A,FALSE,"w-dec98"}</definedName>
    <definedName name="wwww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wwww">#REF!</definedName>
    <definedName name="X" localSheetId="0" hidden="1">{#N/A,#N/A,FALSE,"Model Assumptions"}</definedName>
    <definedName name="x">#REF!</definedName>
    <definedName name="X21C20">#REF!</definedName>
    <definedName name="X9T2">#REF!</definedName>
    <definedName name="xa40mg21">#REF!</definedName>
    <definedName name="xo13wz9">#REF!</definedName>
    <definedName name="Xref" localSheetId="0" hidden="1">#REF!</definedName>
    <definedName name="Xref" hidden="1">#REF!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hidden="1">#REF!</definedName>
    <definedName name="XREF_COLUMN_11" localSheetId="0" hidden="1">#REF!</definedName>
    <definedName name="XREF_COLUMN_11" hidden="1">#REF!</definedName>
    <definedName name="XREF_COLUMN_12" localSheetId="0" hidden="1">#REF!</definedName>
    <definedName name="XREF_COLUMN_12" hidden="1">#REF!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localSheetId="0" hidden="1">#REF!</definedName>
    <definedName name="XREF_COLUMN_15" hidden="1">#REF!</definedName>
    <definedName name="XREF_COLUMN_16" localSheetId="0" hidden="1">#REF!</definedName>
    <definedName name="XREF_COLUMN_16" hidden="1">#REF!</definedName>
    <definedName name="XREF_COLUMN_17" localSheetId="0" hidden="1">#REF!</definedName>
    <definedName name="XREF_COLUMN_17" hidden="1">#REF!</definedName>
    <definedName name="XREF_COLUMN_18" localSheetId="0" hidden="1">#REF!</definedName>
    <definedName name="XREF_COLUMN_18" hidden="1">#REF!</definedName>
    <definedName name="XREF_COLUMN_19" localSheetId="0" hidden="1">#REF!</definedName>
    <definedName name="XREF_COLUMN_19" hidden="1">#REF!</definedName>
    <definedName name="XREF_COLUMN_2" localSheetId="0" hidden="1">#REF!</definedName>
    <definedName name="XREF_COLUMN_2" hidden="1">#REF!</definedName>
    <definedName name="XREF_COLUMN_20" localSheetId="0" hidden="1">#REF!</definedName>
    <definedName name="XREF_COLUMN_20" hidden="1">#REF!</definedName>
    <definedName name="XREF_COLUMN_21" localSheetId="0" hidden="1">#REF!</definedName>
    <definedName name="XREF_COLUMN_21" hidden="1">#REF!</definedName>
    <definedName name="XREF_COLUMN_22" localSheetId="0" hidden="1">#REF!</definedName>
    <definedName name="XREF_COLUMN_22" hidden="1">#REF!</definedName>
    <definedName name="XREF_COLUMN_23" localSheetId="0" hidden="1">#REF!</definedName>
    <definedName name="XREF_COLUMN_23" hidden="1">#REF!</definedName>
    <definedName name="XREF_COLUMN_24" localSheetId="0" hidden="1">#REF!</definedName>
    <definedName name="XREF_COLUMN_24" hidden="1">#REF!</definedName>
    <definedName name="XREF_COLUMN_25" localSheetId="0" hidden="1">#REF!</definedName>
    <definedName name="XREF_COLUMN_25" hidden="1">#REF!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hidden="1">#REF!</definedName>
    <definedName name="XREF_COLUMN_6" localSheetId="0" hidden="1">#REF!</definedName>
    <definedName name="XREF_COLUMN_6" hidden="1">#REF!</definedName>
    <definedName name="XREF_COLUMN_7" localSheetId="0" hidden="1">#REF!</definedName>
    <definedName name="XREF_COLUMN_7" hidden="1">#REF!</definedName>
    <definedName name="XREF_COLUMN_8" localSheetId="0" hidden="1">#REF!</definedName>
    <definedName name="XREF_COLUMN_8" hidden="1">#REF!</definedName>
    <definedName name="XREF_COLUMN_9" localSheetId="0" hidden="1">#REF!</definedName>
    <definedName name="XREF_COLUMN_9" hidden="1">#REF!</definedName>
    <definedName name="XRefActiveRow" localSheetId="0" hidden="1">#REF!</definedName>
    <definedName name="XRefActiveRow" hidden="1">#REF!</definedName>
    <definedName name="XRefColumnsCount" hidden="1">16</definedName>
    <definedName name="XRefCopy1" localSheetId="0" hidden="1">#REF!</definedName>
    <definedName name="XRefCopy1" hidden="1">#REF!</definedName>
    <definedName name="XRefCopy10" localSheetId="0" hidden="1">#REF!</definedName>
    <definedName name="XRefCopy10" hidden="1">#REF!</definedName>
    <definedName name="XRefCopy10Row" localSheetId="0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hidden="1">#REF!</definedName>
    <definedName name="XRefCopy19Row" localSheetId="0" hidden="1">#REF!</definedName>
    <definedName name="XRefCopy19Row" hidden="1">#REF!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0" localSheetId="0" hidden="1">#REF!</definedName>
    <definedName name="XRefCopy20" hidden="1">#REF!</definedName>
    <definedName name="XRefCopy20Row" localSheetId="0" hidden="1">#REF!</definedName>
    <definedName name="XRefCopy20Row" hidden="1">#REF!</definedName>
    <definedName name="XRefCopy21" localSheetId="0" hidden="1">#REF!</definedName>
    <definedName name="XRefCopy21" hidden="1">#REF!</definedName>
    <definedName name="XRefCopy21Row" localSheetId="0" hidden="1">#REF!</definedName>
    <definedName name="XRefCopy21Row" hidden="1">#REF!</definedName>
    <definedName name="XRefCopy22" localSheetId="0" hidden="1">#REF!</definedName>
    <definedName name="XRefCopy22" hidden="1">#REF!</definedName>
    <definedName name="XRefCopy22Row" localSheetId="0" hidden="1">#REF!</definedName>
    <definedName name="XRefCopy22Row" hidden="1">#REF!</definedName>
    <definedName name="XRefCopy23" localSheetId="0" hidden="1">#REF!</definedName>
    <definedName name="XRefCopy23" hidden="1">#REF!</definedName>
    <definedName name="XRefCopy23Row" localSheetId="0" hidden="1">#REF!</definedName>
    <definedName name="XRefCopy23Row" hidden="1">#REF!</definedName>
    <definedName name="XRefCopy24" localSheetId="0" hidden="1">#REF!</definedName>
    <definedName name="XRefCopy24" hidden="1">#REF!</definedName>
    <definedName name="XRefCopy24Row" localSheetId="0" hidden="1">#REF!</definedName>
    <definedName name="XRefCopy24Row" hidden="1">#REF!</definedName>
    <definedName name="XRefCopy25" localSheetId="0" hidden="1">#REF!</definedName>
    <definedName name="XRefCopy25" hidden="1">#REF!</definedName>
    <definedName name="XRefCopy25Row" localSheetId="0" hidden="1">#REF!</definedName>
    <definedName name="XRefCopy25Row" hidden="1">#REF!</definedName>
    <definedName name="XRefCopy26Row" localSheetId="0" hidden="1">#REF!</definedName>
    <definedName name="XRefCopy26Row" hidden="1">#REF!</definedName>
    <definedName name="XRefCopy27Row" localSheetId="0" hidden="1">#REF!</definedName>
    <definedName name="XRefCopy27Row" hidden="1">#REF!</definedName>
    <definedName name="XRefCopy28Row" localSheetId="0" hidden="1">#REF!</definedName>
    <definedName name="XRefCopy28Row" hidden="1">#REF!</definedName>
    <definedName name="XRefCopy29Row" localSheetId="0" hidden="1">#REF!</definedName>
    <definedName name="XRefCopy29Row" hidden="1">#REF!</definedName>
    <definedName name="XRefCopy2Row" localSheetId="0" hidden="1">#REF!</definedName>
    <definedName name="XRefCopy2Row" hidden="1">#REF!</definedName>
    <definedName name="XRefCopy3" localSheetId="0" hidden="1">#REF!</definedName>
    <definedName name="XRefCopy3" hidden="1">#REF!</definedName>
    <definedName name="XRefCopy30Row" localSheetId="0" hidden="1">#REF!</definedName>
    <definedName name="XRefCopy30Row" hidden="1">#REF!</definedName>
    <definedName name="XRefCopy31Row" localSheetId="0" hidden="1">#REF!</definedName>
    <definedName name="XRefCopy31Row" hidden="1">#REF!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Row" localSheetId="0" hidden="1">#REF!</definedName>
    <definedName name="XRefCopy5Row" hidden="1">#REF!</definedName>
    <definedName name="XRefCopy7" localSheetId="0" hidden="1">#REF!</definedName>
    <definedName name="XRefCopy7" hidden="1">#REF!</definedName>
    <definedName name="XRefCopy7Row" localSheetId="0" hidden="1">#REF!</definedName>
    <definedName name="XRefCopy7Row" hidden="1">#REF!</definedName>
    <definedName name="XRefCopy9" localSheetId="0" hidden="1">#REF!</definedName>
    <definedName name="XRefCopy9" hidden="1">#REF!</definedName>
    <definedName name="XRefCopy9Row" localSheetId="0" hidden="1">#REF!</definedName>
    <definedName name="XRefCopy9Row" hidden="1">#REF!</definedName>
    <definedName name="XRefCopyRangeCount" hidden="1">19</definedName>
    <definedName name="XRefPaste1" localSheetId="0" hidden="1">#REF!</definedName>
    <definedName name="XRefPaste1" hidden="1">#REF!</definedName>
    <definedName name="XRefPaste10" localSheetId="0" hidden="1">#REF!</definedName>
    <definedName name="XRefPaste10" hidden="1">#REF!</definedName>
    <definedName name="XRefPaste10Row" localSheetId="0" hidden="1">#REF!</definedName>
    <definedName name="XRefPaste10Row" hidden="1">#REF!</definedName>
    <definedName name="XRefPaste11" localSheetId="0" hidden="1">#REF!</definedName>
    <definedName name="XRefPaste11" hidden="1">#REF!</definedName>
    <definedName name="XRefPaste11Row" localSheetId="0" hidden="1">#REF!</definedName>
    <definedName name="XRefPaste11Row" hidden="1">#REF!</definedName>
    <definedName name="XRefPaste12" localSheetId="0" hidden="1">#REF!</definedName>
    <definedName name="XRefPaste12" hidden="1">#REF!</definedName>
    <definedName name="XRefPaste12Row" localSheetId="0" hidden="1">#REF!</definedName>
    <definedName name="XRefPaste12Row" hidden="1">#REF!</definedName>
    <definedName name="XRefPaste13" localSheetId="0" hidden="1">#REF!</definedName>
    <definedName name="XRefPaste13" hidden="1">#REF!</definedName>
    <definedName name="XRefPaste13Row" localSheetId="0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Row" localSheetId="0" hidden="1">#REF!</definedName>
    <definedName name="XRefPaste14Row" hidden="1">#REF!</definedName>
    <definedName name="XRefPaste15" localSheetId="0" hidden="1">#REF!</definedName>
    <definedName name="XRefPaste15" hidden="1">#REF!</definedName>
    <definedName name="XRefPaste15Row" localSheetId="0" hidden="1">#REF!</definedName>
    <definedName name="XRefPaste15Row" hidden="1">#REF!</definedName>
    <definedName name="XRefPaste16" localSheetId="0" hidden="1">#REF!</definedName>
    <definedName name="XRefPaste16" hidden="1">#REF!</definedName>
    <definedName name="XRefpaste161Row" localSheetId="0" hidden="1">#REF!</definedName>
    <definedName name="XRefpaste161Row" hidden="1">#REF!</definedName>
    <definedName name="XRefPaste16Row" localSheetId="0" hidden="1">#REF!</definedName>
    <definedName name="XRefPaste16Row" hidden="1">#REF!</definedName>
    <definedName name="XRefPaste17" localSheetId="0" hidden="1">#REF!</definedName>
    <definedName name="XRefPaste17" hidden="1">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hidden="1">#REF!</definedName>
    <definedName name="XRefPaste18Row" localSheetId="0" hidden="1">#REF!</definedName>
    <definedName name="XRefPaste18Row" hidden="1">#REF!</definedName>
    <definedName name="XRefPaste19" localSheetId="0" hidden="1">#REF!</definedName>
    <definedName name="XRefPaste19" hidden="1">#REF!</definedName>
    <definedName name="XRefPaste19Row" localSheetId="0" hidden="1">#REF!</definedName>
    <definedName name="XRefPaste19Row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0" localSheetId="0" hidden="1">#REF!</definedName>
    <definedName name="XRefPaste20" hidden="1">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hidden="1">#REF!</definedName>
    <definedName name="XRefPaste21Row" localSheetId="0" hidden="1">#REF!</definedName>
    <definedName name="XRefPaste21Row" hidden="1">#REF!</definedName>
    <definedName name="XRefPaste22Row" localSheetId="0" hidden="1">#REF!</definedName>
    <definedName name="XRefPaste22Row" hidden="1">#REF!</definedName>
    <definedName name="XRefPaste24Row" localSheetId="0" hidden="1">#REF!</definedName>
    <definedName name="XRefPaste24Row" hidden="1">#REF!</definedName>
    <definedName name="XRefPaste25Row" localSheetId="0" hidden="1">#REF!</definedName>
    <definedName name="XRefPaste25Row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Row" localSheetId="0" hidden="1">#REF!</definedName>
    <definedName name="XRefPaste3Row" hidden="1">#REF!</definedName>
    <definedName name="XRefPaste4" localSheetId="0" hidden="1">#REF!</definedName>
    <definedName name="XRefPaste4" hidden="1">#REF!</definedName>
    <definedName name="XRefPaste4Row" localSheetId="0" hidden="1">#REF!</definedName>
    <definedName name="XRefPaste4Row" hidden="1">#REF!</definedName>
    <definedName name="XRefPaste5" localSheetId="0" hidden="1">#REF!</definedName>
    <definedName name="XRefPaste5" hidden="1">#REF!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Row" localSheetId="0" hidden="1">#REF!</definedName>
    <definedName name="XRefPaste6Row" hidden="1">#REF!</definedName>
    <definedName name="XRefPaste7" localSheetId="0" hidden="1">#REF!</definedName>
    <definedName name="XRefPaste7" hidden="1">#REF!</definedName>
    <definedName name="XRefPaste7Row" localSheetId="0" hidden="1">#REF!</definedName>
    <definedName name="XRefPaste7Row" hidden="1">#REF!</definedName>
    <definedName name="XRefPaste8" localSheetId="0" hidden="1">#REF!</definedName>
    <definedName name="XRefPaste8" hidden="1">#REF!</definedName>
    <definedName name="XRefPaste8Row" localSheetId="0" hidden="1">#REF!</definedName>
    <definedName name="XRefPaste8Row" hidden="1">#REF!</definedName>
    <definedName name="XRefPaste9" localSheetId="0" hidden="1">#REF!</definedName>
    <definedName name="XRefPaste9" hidden="1">#REF!</definedName>
    <definedName name="XRefPaste9Row" localSheetId="0" hidden="1">#REF!</definedName>
    <definedName name="XRefPaste9Row" hidden="1">#REF!</definedName>
    <definedName name="XRefPasteRangeCount" hidden="1">1</definedName>
    <definedName name="xx" localSheetId="0" hidden="1">{#N/A,#N/A,FALSE,"Aging Summary";#N/A,#N/A,FALSE,"Ratio Analysis";#N/A,#N/A,FALSE,"Test 120 Day Accts";#N/A,#N/A,FALSE,"Tickmarks"}</definedName>
    <definedName name="XX">#REF!</definedName>
    <definedName name="XXX">#REF!</definedName>
    <definedName name="XXXC">#REF!</definedName>
    <definedName name="XXXD">#REF!</definedName>
    <definedName name="XXXE">#REF!</definedName>
    <definedName name="XXXH">#REF!</definedName>
    <definedName name="XXXJ">#REF!</definedName>
    <definedName name="XXXL">#REF!</definedName>
    <definedName name="XXXM">#REF!</definedName>
    <definedName name="XXXN">#REF!</definedName>
    <definedName name="XXXO">#REF!</definedName>
    <definedName name="xxxx" localSheetId="0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J">#REF!</definedName>
    <definedName name="XXXXXXXXXX">#REF!</definedName>
    <definedName name="XYZ">#REF!</definedName>
    <definedName name="y">#REF!</definedName>
    <definedName name="y45q2">#REF!</definedName>
    <definedName name="y6q9">#REF!</definedName>
    <definedName name="y79n15">#REF!</definedName>
    <definedName name="YA">#REF!</definedName>
    <definedName name="YEAR">#REF!</definedName>
    <definedName name="YearlyAccounts">#REF!</definedName>
    <definedName name="YearlyAccountsSummery">#REF!</definedName>
    <definedName name="YELLOW">#REF!</definedName>
    <definedName name="yh2kq9">#REF!</definedName>
    <definedName name="yrtiyu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i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ti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t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tu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tu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YY">#REF!</definedName>
    <definedName name="YYYF">#REF!</definedName>
    <definedName name="YYYG">#REF!</definedName>
    <definedName name="YYYH">#REF!</definedName>
    <definedName name="YYYI">#REF!</definedName>
    <definedName name="YYYJ">#REF!</definedName>
    <definedName name="YYYK">#REF!</definedName>
    <definedName name="z">#REF!</definedName>
    <definedName name="Z_0B113C9C_A1A9_11D3_A311_0008C739212F_.wvu.PrintArea" localSheetId="0" hidden="1">#REF!</definedName>
    <definedName name="Z_0B113C9C_A1A9_11D3_A311_0008C739212F_.wvu.PrintArea" hidden="1">#REF!</definedName>
    <definedName name="Z_1A3E9F40_4FCC_11D2_A7FF_0060971217C0_.wvu.PrintArea" localSheetId="0" hidden="1">#REF!</definedName>
    <definedName name="Z_1A3E9F40_4FCC_11D2_A7FF_0060971217C0_.wvu.PrintArea" hidden="1">#REF!</definedName>
    <definedName name="Z_1C03E4A5_0E99_11D5_896C_00008646D7BA_.wvu.Cols" localSheetId="0" hidden="1">#REF!</definedName>
    <definedName name="Z_1C03E4A5_0E99_11D5_896C_00008646D7BA_.wvu.Cols" hidden="1">#REF!</definedName>
    <definedName name="Z_1C03E4A5_0E99_11D5_896C_00008646D7BA_.wvu.Rows" localSheetId="0" hidden="1">#REF!</definedName>
    <definedName name="Z_1C03E4A5_0E99_11D5_896C_00008646D7BA_.wvu.Rows" hidden="1">#REF!</definedName>
    <definedName name="Z_2F0BD9A2_457D_11D2_8EE8_0060971217D4_.wvu.PrintArea" localSheetId="0" hidden="1">#REF!</definedName>
    <definedName name="Z_2F0BD9A2_457D_11D2_8EE8_0060971217D4_.wvu.PrintArea" hidden="1">#REF!</definedName>
    <definedName name="Z_2F0BD9A2_457D_11D2_8EE8_0060971217D4_.wvu.PrintTitles" localSheetId="0" hidden="1">#REF!</definedName>
    <definedName name="Z_2F0BD9A2_457D_11D2_8EE8_0060971217D4_.wvu.PrintTitles" hidden="1">#REF!</definedName>
    <definedName name="Z_3AB84060_44C7_11D2_8EE8_0060971217D4_.wvu.PrintArea" localSheetId="0" hidden="1">#REF!</definedName>
    <definedName name="Z_3AB84060_44C7_11D2_8EE8_0060971217D4_.wvu.PrintArea" hidden="1">#REF!</definedName>
    <definedName name="Z_3AB84060_44C7_11D2_8EE8_0060971217D4_.wvu.PrintTitles" localSheetId="0" hidden="1">#REF!</definedName>
    <definedName name="Z_3AB84060_44C7_11D2_8EE8_0060971217D4_.wvu.PrintTitles" hidden="1">#REF!</definedName>
    <definedName name="Z_40BD8C62_D3AE_11D2_BB99_006097121403_.wvu.Cols" localSheetId="0" hidden="1">#REF!,#REF!,#REF!,#REF!,#REF!,#REF!</definedName>
    <definedName name="Z_40BD8C62_D3AE_11D2_BB99_006097121403_.wvu.Cols" hidden="1">#REF!,#REF!,#REF!,#REF!,#REF!,#REF!</definedName>
    <definedName name="Z_40BD8C62_D3AE_11D2_BB99_006097121403_.wvu.PrintArea" localSheetId="0" hidden="1">#REF!</definedName>
    <definedName name="Z_40BD8C62_D3AE_11D2_BB99_006097121403_.wvu.PrintArea" hidden="1">#REF!</definedName>
    <definedName name="Z_42082262_47C5_4083_A75E_526FAD58A78A_.wvu.Rows" localSheetId="0" hidden="1">#REF!,#REF!,#REF!,#REF!,#REF!,#REF!</definedName>
    <definedName name="Z_42082262_47C5_4083_A75E_526FAD58A78A_.wvu.Rows" hidden="1">#REF!,#REF!,#REF!,#REF!,#REF!,#REF!</definedName>
    <definedName name="Z_42CB23D9_FE0D_4360_B7CD_56A3AF127F7C_.wvu.Rows" localSheetId="0" hidden="1">#REF!,#REF!,#REF!,#REF!,#REF!,#REF!</definedName>
    <definedName name="Z_42CB23D9_FE0D_4360_B7CD_56A3AF127F7C_.wvu.Rows" hidden="1">#REF!,#REF!,#REF!,#REF!,#REF!,#REF!</definedName>
    <definedName name="Z_5F72E90E_5306_4453_8ECA_43061516744D_.wvu.Rows" localSheetId="0" hidden="1">#REF!,#REF!,#REF!,#REF!,#REF!,#REF!</definedName>
    <definedName name="Z_5F72E90E_5306_4453_8ECA_43061516744D_.wvu.Rows" hidden="1">#REF!,#REF!,#REF!,#REF!,#REF!,#REF!</definedName>
    <definedName name="Z_7268092C_48A6_11D6_BF00_0048545546A4_.wvu.PrintArea" localSheetId="0" hidden="1">#REF!</definedName>
    <definedName name="Z_7268092C_48A6_11D6_BF00_0048545546A4_.wvu.PrintArea" hidden="1">#REF!</definedName>
    <definedName name="Z_7268092C_48A6_11D6_BF00_0048545546A4_.wvu.Rows" localSheetId="0" hidden="1">#REF!,#REF!,#REF!,#REF!,#REF!,#REF!</definedName>
    <definedName name="Z_7268092C_48A6_11D6_BF00_0048545546A4_.wvu.Rows" hidden="1">#REF!,#REF!,#REF!,#REF!,#REF!,#REF!</definedName>
    <definedName name="Z_74BB7D31_A24A_11D3_95F1_000000000000_.wvu.PrintArea" localSheetId="0" hidden="1">#REF!</definedName>
    <definedName name="Z_74BB7D31_A24A_11D3_95F1_000000000000_.wvu.PrintArea" hidden="1">#REF!</definedName>
    <definedName name="Z_7CC30400_52D6_11D2_91E6_0060971217D4_.wvu.PrintArea" localSheetId="0" hidden="1">#REF!</definedName>
    <definedName name="Z_7CC30400_52D6_11D2_91E6_0060971217D4_.wvu.PrintArea" hidden="1">#REF!</definedName>
    <definedName name="Z_95199381_509B_11D2_A368_00001C3AD7D3_.wvu.PrintArea" localSheetId="0" hidden="1">#REF!</definedName>
    <definedName name="Z_95199381_509B_11D2_A368_00001C3AD7D3_.wvu.PrintArea" hidden="1">#REF!</definedName>
    <definedName name="Z_A3876EF3_8056_414D_9895_185A0A47AC3D_.wvu.Rows" localSheetId="0" hidden="1">#REF!,#REF!,#REF!,#REF!,#REF!,#REF!</definedName>
    <definedName name="Z_A3876EF3_8056_414D_9895_185A0A47AC3D_.wvu.Rows" hidden="1">#REF!,#REF!,#REF!,#REF!,#REF!,#REF!</definedName>
    <definedName name="Z_BF010B80_D537_11D2_8F10_000001014271_.wvu.Cols" localSheetId="0" hidden="1">#REF!,#REF!,#REF!,#REF!,#REF!,#REF!,#REF!</definedName>
    <definedName name="Z_BF010B80_D537_11D2_8F10_000001014271_.wvu.Cols" hidden="1">#REF!,#REF!,#REF!,#REF!,#REF!,#REF!,#REF!</definedName>
    <definedName name="Z_C2C0FF43_603F_11D2_A368_00001C3AD7D3_.wvu.PrintArea" localSheetId="0" hidden="1">#REF!</definedName>
    <definedName name="Z_C2C0FF43_603F_11D2_A368_00001C3AD7D3_.wvu.PrintArea" hidden="1">#REF!</definedName>
    <definedName name="Z_C2C0FF43_603F_11D2_A368_00001C3AD7D3_.wvu.PrintTitles" localSheetId="0" hidden="1">#REF!</definedName>
    <definedName name="Z_C2C0FF43_603F_11D2_A368_00001C3AD7D3_.wvu.PrintTitles" hidden="1">#REF!</definedName>
    <definedName name="Z_D068BBA0_44C0_11D2_8EE8_0060971217D4_.wvu.Cols" localSheetId="0" hidden="1">#REF!,#REF!,#REF!,#REF!</definedName>
    <definedName name="Z_D068BBA0_44C0_11D2_8EE8_0060971217D4_.wvu.Cols" hidden="1">#REF!,#REF!,#REF!,#REF!</definedName>
    <definedName name="Z_D068BBA0_44C0_11D2_8EE8_0060971217D4_.wvu.PrintArea" localSheetId="0" hidden="1">#REF!</definedName>
    <definedName name="Z_D068BBA0_44C0_11D2_8EE8_0060971217D4_.wvu.PrintArea" hidden="1">#REF!</definedName>
    <definedName name="Z_D068BBA0_44C0_11D2_8EE8_0060971217D4_.wvu.PrintTitles" localSheetId="0" hidden="1">#REF!</definedName>
    <definedName name="Z_D068BBA0_44C0_11D2_8EE8_0060971217D4_.wvu.PrintTitles" hidden="1">#REF!</definedName>
    <definedName name="Z_F3F2DB71_7CF8_11D4_AF24_0080AD91B2FE_.wvu.Rows" localSheetId="0" hidden="1">#REF!,#REF!,#REF!,#REF!,#REF!,#REF!</definedName>
    <definedName name="Z_F3F2DB71_7CF8_11D4_AF24_0080AD91B2FE_.wvu.Rows" hidden="1">#REF!,#REF!,#REF!,#REF!,#REF!,#REF!</definedName>
    <definedName name="z45r9">#REF!</definedName>
    <definedName name="za" localSheetId="0" hidden="1">{"MSS",#N/A,FALSE,"MSS";"ProdSA",#N/A,FALSE,"ProdSA";"Sales 1",#N/A,FALSE,"SALES";"Transfer 1",#N/A,FALSE,"TRANSFERS"}</definedName>
    <definedName name="za" hidden="1">{"MSS",#N/A,FALSE,"MSS";"ProdSA",#N/A,FALSE,"ProdSA";"Sales 1",#N/A,FALSE,"SALES";"Transfer 1",#N/A,FALSE,"TRANSFERS"}</definedName>
    <definedName name="ZAL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T">#REF!</definedName>
    <definedName name="ZDC">#REF!</definedName>
    <definedName name="ZED">#REF!</definedName>
    <definedName name="ZI">#REF!</definedName>
    <definedName name="ZipperCost">#REF!</definedName>
    <definedName name="ZipperStitch">#REF!</definedName>
    <definedName name="ZMC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NN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N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A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R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P">#REF!</definedName>
    <definedName name="ZQ">#REF!</definedName>
    <definedName name="ZS">#REF!</definedName>
    <definedName name="zsdza" hidden="1">87</definedName>
    <definedName name="ZT">#REF!</definedName>
    <definedName name="ZZ" hidden="1">#REF!</definedName>
    <definedName name="ZZI">#REF!</definedName>
    <definedName name="ZZZ">#REF!</definedName>
    <definedName name="ZZZL">#REF!</definedName>
    <definedName name="ZZZM">#REF!</definedName>
    <definedName name="ZZZN">#REF!</definedName>
    <definedName name="ZZZO">#REF!</definedName>
    <definedName name="ZZZP">#REF!</definedName>
    <definedName name="ZZZQ">#REF!</definedName>
    <definedName name="ZZZR">#REF!</definedName>
    <definedName name="ZZZS">#REF!</definedName>
    <definedName name="ZZZU">#REF!</definedName>
    <definedName name="zzzzzzzzzzzz" localSheetId="0" hidden="1">#REF!</definedName>
    <definedName name="zzzzzzzzzzzz" hidden="1">#REF!</definedName>
  </definedNames>
  <calcPr calcId="191029"/>
</workbook>
</file>

<file path=xl/calcChain.xml><?xml version="1.0" encoding="utf-8"?>
<calcChain xmlns="http://schemas.openxmlformats.org/spreadsheetml/2006/main">
  <c r="A37" i="100" l="1"/>
  <c r="I6" i="111"/>
  <c r="I5" i="111"/>
  <c r="J5" i="111" s="1"/>
  <c r="I13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H74" i="111"/>
  <c r="J44" i="111" l="1"/>
  <c r="J43" i="111"/>
  <c r="G64" i="111"/>
  <c r="I64" i="111" s="1"/>
  <c r="G16" i="111"/>
  <c r="F16" i="111"/>
  <c r="E16" i="111"/>
  <c r="D16" i="111"/>
  <c r="C16" i="111"/>
  <c r="H7" i="111" l="1"/>
  <c r="G7" i="111"/>
  <c r="F7" i="111"/>
  <c r="E7" i="111"/>
  <c r="H16" i="111" l="1"/>
  <c r="I16" i="111" l="1"/>
  <c r="H46" i="111"/>
  <c r="H49" i="111" s="1"/>
  <c r="G46" i="111"/>
  <c r="G49" i="111" s="1"/>
  <c r="F46" i="111"/>
  <c r="F49" i="111" s="1"/>
  <c r="E46" i="111"/>
  <c r="E49" i="111" s="1"/>
  <c r="D46" i="111" l="1"/>
  <c r="D49" i="111" s="1"/>
  <c r="D7" i="111"/>
  <c r="C46" i="111"/>
  <c r="C49" i="111" s="1"/>
  <c r="C7" i="111"/>
  <c r="N20" i="100"/>
  <c r="D12" i="100" l="1"/>
  <c r="AD4" i="114" l="1"/>
  <c r="R4" i="114"/>
  <c r="K33" i="100"/>
  <c r="M33" i="100" s="1" a="1"/>
  <c r="M33" i="100" s="1"/>
  <c r="M26" i="100" a="1"/>
  <c r="K26" i="100"/>
  <c r="O4" i="114" s="1"/>
  <c r="N4" i="114"/>
  <c r="H4" i="114"/>
  <c r="F4" i="114"/>
  <c r="E4" i="114"/>
  <c r="D4" i="114"/>
  <c r="C4" i="114"/>
  <c r="B4" i="114"/>
  <c r="M26" i="100" l="1"/>
  <c r="P4" i="114" s="1"/>
  <c r="C7" i="113"/>
  <c r="F7" i="113" s="1"/>
  <c r="G6" i="113"/>
  <c r="E6" i="113"/>
  <c r="G5" i="113"/>
  <c r="E5" i="113"/>
  <c r="G4" i="113"/>
  <c r="E4" i="113"/>
  <c r="N28" i="100"/>
  <c r="E7" i="113" l="1"/>
  <c r="J6" i="113"/>
  <c r="K6" i="113" s="1"/>
  <c r="I7" i="113"/>
  <c r="H7" i="113"/>
  <c r="H9" i="113" s="1"/>
  <c r="G7" i="113"/>
  <c r="J4" i="113"/>
  <c r="D7" i="113"/>
  <c r="J5" i="113"/>
  <c r="K5" i="113" s="1"/>
  <c r="O13" i="100"/>
  <c r="J18" i="111" l="1"/>
  <c r="J17" i="111"/>
  <c r="J23" i="111"/>
  <c r="J37" i="111"/>
  <c r="J7" i="113"/>
  <c r="H11" i="113" s="1"/>
  <c r="H12" i="113" s="1"/>
  <c r="K4" i="113"/>
  <c r="K7" i="113" s="1"/>
  <c r="J13" i="111" l="1"/>
  <c r="G66" i="111" l="1"/>
  <c r="I66" i="111" s="1"/>
  <c r="J20" i="111"/>
  <c r="J22" i="111"/>
  <c r="J21" i="111"/>
  <c r="J19" i="111"/>
  <c r="J42" i="111"/>
  <c r="J41" i="111"/>
  <c r="J40" i="111"/>
  <c r="J39" i="111"/>
  <c r="J38" i="111"/>
  <c r="J36" i="111"/>
  <c r="J35" i="111"/>
  <c r="J34" i="111"/>
  <c r="J33" i="111"/>
  <c r="J32" i="111"/>
  <c r="J31" i="111"/>
  <c r="J30" i="111"/>
  <c r="J29" i="111"/>
  <c r="J28" i="111"/>
  <c r="J27" i="111"/>
  <c r="J26" i="111"/>
  <c r="J25" i="111"/>
  <c r="J24" i="111"/>
  <c r="G67" i="111" l="1"/>
  <c r="G70" i="111"/>
  <c r="I70" i="111" s="1"/>
  <c r="G71" i="111"/>
  <c r="I71" i="111" s="1"/>
  <c r="I67" i="111"/>
  <c r="N46" i="100"/>
  <c r="N45" i="100"/>
  <c r="N44" i="100"/>
  <c r="N43" i="100"/>
  <c r="N42" i="100"/>
  <c r="N41" i="100"/>
  <c r="N38" i="100"/>
  <c r="N37" i="100"/>
  <c r="N36" i="100"/>
  <c r="N32" i="100"/>
  <c r="N31" i="100"/>
  <c r="N30" i="100"/>
  <c r="N29" i="100"/>
  <c r="N25" i="100"/>
  <c r="N24" i="100"/>
  <c r="N23" i="100"/>
  <c r="N22" i="100"/>
  <c r="N21" i="100"/>
  <c r="N56" i="100"/>
  <c r="N55" i="100"/>
  <c r="N54" i="100"/>
  <c r="N53" i="100"/>
  <c r="N52" i="100"/>
  <c r="N51" i="100"/>
  <c r="N35" i="100"/>
  <c r="N33" i="100" l="1" a="1"/>
  <c r="N33" i="100" s="1"/>
  <c r="N26" i="100" a="1"/>
  <c r="N26" i="100" s="1"/>
  <c r="D5" i="100" l="1"/>
  <c r="O54" i="100"/>
  <c r="O53" i="100"/>
  <c r="O51" i="100" l="1"/>
  <c r="D35" i="100" s="1"/>
  <c r="E35" i="100" s="1"/>
  <c r="U4" i="114" s="1"/>
  <c r="O38" i="100"/>
  <c r="O45" i="100"/>
  <c r="O36" i="100"/>
  <c r="O43" i="100"/>
  <c r="O44" i="100"/>
  <c r="O39" i="100"/>
  <c r="O46" i="100"/>
  <c r="O47" i="100"/>
  <c r="O48" i="100"/>
  <c r="O56" i="100"/>
  <c r="O55" i="100"/>
  <c r="O52" i="100"/>
  <c r="O42" i="100"/>
  <c r="O41" i="100"/>
  <c r="O40" i="100"/>
  <c r="O37" i="100"/>
  <c r="O35" i="100"/>
  <c r="O32" i="100"/>
  <c r="O30" i="100"/>
  <c r="O29" i="100"/>
  <c r="O28" i="100"/>
  <c r="O25" i="100"/>
  <c r="O23" i="100"/>
  <c r="O22" i="100"/>
  <c r="O21" i="100"/>
  <c r="O20" i="100"/>
  <c r="J51" i="100"/>
  <c r="O57" i="100" l="1"/>
  <c r="D36" i="100" s="1"/>
  <c r="E36" i="100" s="1"/>
  <c r="V4" i="114" s="1"/>
  <c r="O49" i="100"/>
  <c r="O33" i="100"/>
  <c r="D33" i="100" s="1"/>
  <c r="E33" i="100" s="1"/>
  <c r="S4" i="114" s="1"/>
  <c r="O26" i="100"/>
  <c r="D32" i="100" s="1"/>
  <c r="E32" i="100" s="1"/>
  <c r="Q4" i="114" s="1"/>
  <c r="D34" i="100" l="1"/>
  <c r="E34" i="100" s="1"/>
  <c r="T4" i="114" s="1"/>
  <c r="E22" i="100"/>
  <c r="F23" i="98"/>
  <c r="E23" i="98"/>
  <c r="D23" i="98"/>
  <c r="C23" i="98"/>
  <c r="D10" i="100"/>
  <c r="G4" i="114" s="1"/>
  <c r="H3" i="98" l="1"/>
  <c r="M32" i="107" a="1"/>
  <c r="M32" i="107" s="1"/>
  <c r="H39" i="98"/>
  <c r="H51" i="98"/>
  <c r="H64" i="98"/>
  <c r="H25" i="98"/>
  <c r="H14" i="98"/>
  <c r="G5" i="100" l="1"/>
  <c r="J16" i="111" l="1"/>
  <c r="G69" i="111" l="1"/>
  <c r="I69" i="111" s="1"/>
  <c r="J46" i="111"/>
  <c r="I46" i="111"/>
  <c r="I56" i="111" l="1"/>
  <c r="I55" i="111"/>
  <c r="I54" i="111"/>
  <c r="I53" i="111"/>
  <c r="AU16" i="111"/>
  <c r="AU15" i="111"/>
  <c r="AU14" i="111"/>
  <c r="AU12" i="111"/>
  <c r="J55" i="111" l="1"/>
  <c r="J54" i="111"/>
  <c r="J53" i="111"/>
  <c r="I49" i="111"/>
  <c r="J56" i="111"/>
  <c r="I7" i="111"/>
  <c r="J49" i="111" l="1"/>
  <c r="J58" i="111" s="1"/>
  <c r="G72" i="111" l="1"/>
  <c r="G74" i="111" l="1"/>
  <c r="I74" i="111" s="1"/>
  <c r="I72" i="111"/>
  <c r="A3" i="98"/>
  <c r="A25" i="98" l="1"/>
  <c r="F49" i="98" l="1"/>
  <c r="F36" i="98"/>
  <c r="D36" i="98"/>
  <c r="H13" i="98" l="1"/>
  <c r="H2" i="98" l="1"/>
  <c r="L67" i="107" l="1"/>
  <c r="K67" i="107"/>
  <c r="J67" i="107"/>
  <c r="I67" i="107"/>
  <c r="H67" i="107"/>
  <c r="G67" i="107"/>
  <c r="F67" i="107"/>
  <c r="E67" i="107"/>
  <c r="D67" i="107"/>
  <c r="L66" i="107"/>
  <c r="K66" i="107"/>
  <c r="J66" i="107"/>
  <c r="I66" i="107"/>
  <c r="H66" i="107"/>
  <c r="G66" i="107"/>
  <c r="F66" i="107"/>
  <c r="E66" i="107"/>
  <c r="D66" i="107"/>
  <c r="L65" i="107"/>
  <c r="K65" i="107"/>
  <c r="J65" i="107"/>
  <c r="I65" i="107"/>
  <c r="H65" i="107"/>
  <c r="G65" i="107"/>
  <c r="F65" i="107"/>
  <c r="E65" i="107"/>
  <c r="D65" i="107"/>
  <c r="L64" i="107"/>
  <c r="K64" i="107"/>
  <c r="J64" i="107"/>
  <c r="I64" i="107"/>
  <c r="H64" i="107"/>
  <c r="G64" i="107"/>
  <c r="F64" i="107"/>
  <c r="E64" i="107"/>
  <c r="D64" i="107"/>
  <c r="A64" i="107"/>
  <c r="N75" i="98" l="1"/>
  <c r="N77" i="98" s="1"/>
  <c r="I73" i="98" l="1"/>
  <c r="H65" i="98"/>
  <c r="H66" i="98" s="1"/>
  <c r="H67" i="98" s="1"/>
  <c r="H68" i="98" s="1"/>
  <c r="H69" i="98" s="1"/>
  <c r="H70" i="98" s="1"/>
  <c r="H71" i="98" s="1"/>
  <c r="H72" i="98" s="1"/>
  <c r="H4" i="98"/>
  <c r="H5" i="98" s="1"/>
  <c r="H6" i="98" s="1"/>
  <c r="H7" i="98" s="1"/>
  <c r="H8" i="98" s="1"/>
  <c r="H9" i="98" s="1"/>
  <c r="H10" i="98" s="1"/>
  <c r="H11" i="98" s="1"/>
  <c r="I12" i="98"/>
  <c r="H15" i="98"/>
  <c r="H16" i="98" s="1"/>
  <c r="H17" i="98" s="1"/>
  <c r="H18" i="98" s="1"/>
  <c r="H19" i="98" s="1"/>
  <c r="H20" i="98" s="1"/>
  <c r="H21" i="98" s="1"/>
  <c r="H22" i="98" s="1"/>
  <c r="I23" i="98"/>
  <c r="I60" i="98"/>
  <c r="H52" i="98"/>
  <c r="H53" i="98" s="1"/>
  <c r="H54" i="98" s="1"/>
  <c r="H55" i="98" s="1"/>
  <c r="H56" i="98" s="1"/>
  <c r="H57" i="98" s="1"/>
  <c r="H58" i="98" s="1"/>
  <c r="H59" i="98" s="1"/>
  <c r="I48" i="98"/>
  <c r="H40" i="98"/>
  <c r="H41" i="98" s="1"/>
  <c r="H42" i="98" s="1"/>
  <c r="H43" i="98" s="1"/>
  <c r="H44" i="98" s="1"/>
  <c r="H45" i="98" s="1"/>
  <c r="H46" i="98" s="1"/>
  <c r="H47" i="98" s="1"/>
  <c r="E49" i="98"/>
  <c r="E36" i="98"/>
  <c r="D49" i="98"/>
  <c r="C49" i="98"/>
  <c r="C36" i="98"/>
  <c r="M23" i="98" l="1" a="1"/>
  <c r="M23" i="98" s="1"/>
  <c r="L23" i="98" a="1"/>
  <c r="L23" i="98" s="1"/>
  <c r="J23" i="98" a="1"/>
  <c r="J23" i="98" s="1"/>
  <c r="K23" i="98" a="1"/>
  <c r="K23" i="98" s="1"/>
  <c r="K12" i="98" a="1"/>
  <c r="K12" i="98" s="1"/>
  <c r="J12" i="98" a="1"/>
  <c r="J12" i="98" s="1"/>
  <c r="M12" i="98" a="1"/>
  <c r="M12" i="98" s="1"/>
  <c r="L12" i="98" a="1"/>
  <c r="L12" i="98" s="1"/>
  <c r="A38" i="98"/>
  <c r="A51" i="98"/>
  <c r="I34" i="98"/>
  <c r="H38" i="98" l="1"/>
  <c r="M48" i="98" s="1" a="1"/>
  <c r="M48" i="98" s="1"/>
  <c r="H26" i="98"/>
  <c r="A26" i="98"/>
  <c r="L48" i="98" l="1" a="1"/>
  <c r="L48" i="98" s="1"/>
  <c r="K48" i="98" a="1"/>
  <c r="K48" i="98" s="1"/>
  <c r="J48" i="98" a="1"/>
  <c r="J48" i="98" s="1"/>
  <c r="A52" i="98"/>
  <c r="A53" i="98" s="1"/>
  <c r="A54" i="98" s="1"/>
  <c r="A55" i="98" s="1"/>
  <c r="A56" i="98" s="1"/>
  <c r="A57" i="98" s="1"/>
  <c r="A58" i="98" s="1"/>
  <c r="A59" i="98" s="1"/>
  <c r="A60" i="98" s="1"/>
  <c r="A39" i="98"/>
  <c r="B67" i="98"/>
  <c r="D67" i="98" s="1" a="1"/>
  <c r="D67" i="98" s="1"/>
  <c r="H27" i="98"/>
  <c r="A27" i="98"/>
  <c r="A40" i="98" s="1"/>
  <c r="H28" i="98" l="1"/>
  <c r="A28" i="98"/>
  <c r="A41" i="98" s="1"/>
  <c r="B68" i="98"/>
  <c r="D68" i="98" l="1" a="1"/>
  <c r="D68" i="98" s="1"/>
  <c r="E68" i="98" a="1"/>
  <c r="E68" i="98" s="1"/>
  <c r="C68" i="98" a="1"/>
  <c r="C68" i="98" s="1"/>
  <c r="F68" i="98" a="1"/>
  <c r="F68" i="98" s="1"/>
  <c r="B69" i="98"/>
  <c r="H29" i="98"/>
  <c r="A29" i="98"/>
  <c r="A42" i="98" s="1"/>
  <c r="G68" i="98" l="1"/>
  <c r="F69" i="98" a="1"/>
  <c r="F69" i="98" s="1"/>
  <c r="E69" i="98" a="1"/>
  <c r="E69" i="98" s="1"/>
  <c r="D69" i="98" a="1"/>
  <c r="D69" i="98" s="1"/>
  <c r="C69" i="98" a="1"/>
  <c r="C69" i="98" s="1"/>
  <c r="H30" i="98"/>
  <c r="A30" i="98"/>
  <c r="A43" i="98" s="1"/>
  <c r="D72" i="98" l="1"/>
  <c r="G69" i="98"/>
  <c r="H31" i="98"/>
  <c r="A31" i="98"/>
  <c r="A44" i="98" s="1"/>
  <c r="E72" i="98" l="1"/>
  <c r="H32" i="98"/>
  <c r="A32" i="98"/>
  <c r="A45" i="98" s="1"/>
  <c r="E73" i="98" l="1"/>
  <c r="H33" i="98"/>
  <c r="A34" i="98" s="1"/>
  <c r="A47" i="98" s="1"/>
  <c r="A33" i="98"/>
  <c r="A46" i="98" s="1"/>
  <c r="C67" i="98" l="1" a="1"/>
  <c r="C67" i="98" s="1"/>
  <c r="H24" i="98"/>
  <c r="F67" i="98" a="1"/>
  <c r="F67" i="98" s="1"/>
  <c r="E67" i="98" a="1"/>
  <c r="E67" i="98" s="1"/>
  <c r="G67" i="98" l="1"/>
  <c r="J13" i="100" s="1"/>
  <c r="H50" i="98"/>
  <c r="J34" i="98" a="1"/>
  <c r="J34" i="98" s="1"/>
  <c r="M34" i="98" a="1"/>
  <c r="M34" i="98" s="1"/>
  <c r="L34" i="98" a="1"/>
  <c r="L34" i="98" s="1"/>
  <c r="K34" i="98" a="1"/>
  <c r="K34" i="98" s="1"/>
  <c r="J4" i="114" l="1"/>
  <c r="J15" i="100"/>
  <c r="D55" i="100"/>
  <c r="E55" i="100" s="1"/>
  <c r="D47" i="100"/>
  <c r="A47" i="100" s="1"/>
  <c r="D38" i="100"/>
  <c r="A38" i="100" s="1"/>
  <c r="D46" i="100"/>
  <c r="A46" i="100" s="1"/>
  <c r="D45" i="100"/>
  <c r="A45" i="100" s="1"/>
  <c r="D37" i="100"/>
  <c r="L60" i="98" a="1"/>
  <c r="L60" i="98" s="1"/>
  <c r="J60" i="98" a="1"/>
  <c r="J60" i="98" s="1"/>
  <c r="K60" i="98" a="1"/>
  <c r="K60" i="98" s="1"/>
  <c r="M60" i="98" a="1"/>
  <c r="M60" i="98" s="1"/>
  <c r="C72" i="98"/>
  <c r="H63" i="98"/>
  <c r="E38" i="100" l="1"/>
  <c r="X4" i="114" s="1"/>
  <c r="E37" i="100"/>
  <c r="W4" i="114" s="1"/>
  <c r="M73" i="98" a="1"/>
  <c r="M73" i="98" s="1"/>
  <c r="M77" i="98" s="1"/>
  <c r="J73" i="98" a="1"/>
  <c r="J73" i="98" s="1"/>
  <c r="J77" i="98" s="1"/>
  <c r="L73" i="98" a="1"/>
  <c r="L73" i="98" s="1"/>
  <c r="L77" i="98" s="1"/>
  <c r="K73" i="98" a="1"/>
  <c r="K73" i="98" s="1"/>
  <c r="K77" i="98" s="1"/>
  <c r="E45" i="100"/>
  <c r="E47" i="100"/>
  <c r="E46" i="100"/>
  <c r="D73" i="98"/>
  <c r="C73" i="98"/>
  <c r="G72" i="98"/>
  <c r="D15" i="100" l="1"/>
  <c r="D50" i="100"/>
  <c r="D51" i="100" s="1"/>
  <c r="D39" i="100" l="1"/>
  <c r="I4" i="114"/>
  <c r="E50" i="100"/>
  <c r="AB4" i="114" s="1"/>
  <c r="E51" i="100" l="1"/>
  <c r="D40" i="100"/>
  <c r="E39" i="100"/>
  <c r="Y4" i="114" s="1"/>
  <c r="Z4" i="114" s="1"/>
  <c r="D20" i="100"/>
  <c r="E40" i="100" l="1"/>
  <c r="D24" i="100"/>
  <c r="E24" i="100" s="1"/>
  <c r="D25" i="100"/>
  <c r="E25" i="100" s="1"/>
  <c r="D27" i="100"/>
  <c r="E27" i="100" s="1"/>
  <c r="D23" i="100"/>
  <c r="E23" i="100" s="1"/>
  <c r="E28" i="100"/>
  <c r="E20" i="100"/>
  <c r="K4" i="114" s="1"/>
  <c r="D26" i="100"/>
  <c r="E26" i="100" s="1"/>
  <c r="D21" i="100"/>
  <c r="E21" i="100" s="1"/>
  <c r="G27" i="100" l="1"/>
  <c r="L4" i="114"/>
  <c r="E29" i="100"/>
  <c r="G24" i="100"/>
  <c r="G26" i="100"/>
  <c r="G21" i="100"/>
  <c r="D29" i="100"/>
  <c r="J7" i="100"/>
  <c r="G23" i="100"/>
  <c r="G22" i="100"/>
  <c r="G25" i="100"/>
  <c r="G28" i="100"/>
  <c r="J9" i="100" l="1"/>
  <c r="AH4" i="114" s="1"/>
  <c r="AF4" i="114"/>
  <c r="G55" i="100"/>
  <c r="M4" i="114"/>
  <c r="D42" i="100"/>
  <c r="D53" i="100" s="1"/>
  <c r="D56" i="100" s="1"/>
  <c r="G36" i="100"/>
  <c r="G34" i="100"/>
  <c r="G33" i="100"/>
  <c r="G32" i="100"/>
  <c r="G35" i="100"/>
  <c r="G37" i="100"/>
  <c r="G45" i="100"/>
  <c r="G46" i="100"/>
  <c r="G47" i="100"/>
  <c r="G38" i="100"/>
  <c r="G50" i="100"/>
  <c r="G39" i="100"/>
  <c r="G40" i="100"/>
  <c r="G29" i="100"/>
  <c r="E42" i="100"/>
  <c r="G42" i="100" l="1"/>
  <c r="AA4" i="114"/>
  <c r="D43" i="100"/>
  <c r="E43" i="100" s="1"/>
  <c r="E56" i="100"/>
  <c r="J5" i="100" s="1"/>
  <c r="AE4" i="114" s="1"/>
  <c r="A55" i="100"/>
  <c r="E53" i="100"/>
  <c r="AC4" i="114" s="1"/>
  <c r="G56" i="100" l="1"/>
  <c r="O9" i="100" s="1"/>
  <c r="G53" i="100"/>
  <c r="O6" i="100"/>
  <c r="O5" i="100" s="1"/>
  <c r="O8" i="100"/>
  <c r="O7" i="100" s="1"/>
  <c r="J8" i="100" l="1"/>
  <c r="AG4" i="11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<sst xmlns="http://schemas.openxmlformats.org/spreadsheetml/2006/main" count="851" uniqueCount="345">
  <si>
    <t>Total</t>
  </si>
  <si>
    <t>Fabric</t>
  </si>
  <si>
    <t>Order Size</t>
  </si>
  <si>
    <t>%</t>
  </si>
  <si>
    <t>MUSTANG</t>
  </si>
  <si>
    <t>Net Profit</t>
  </si>
  <si>
    <t>GDP</t>
  </si>
  <si>
    <t>Finishing</t>
  </si>
  <si>
    <t>Cutting</t>
  </si>
  <si>
    <t>F&amp;P</t>
  </si>
  <si>
    <t>MOHITO</t>
  </si>
  <si>
    <t>Shorts</t>
  </si>
  <si>
    <t>FRANSA</t>
  </si>
  <si>
    <t>EBITDA</t>
  </si>
  <si>
    <t>SOLID</t>
  </si>
  <si>
    <t>Material Cost</t>
  </si>
  <si>
    <t>Shirt</t>
  </si>
  <si>
    <t>Linning</t>
  </si>
  <si>
    <t>$</t>
  </si>
  <si>
    <t>D Labor Cost</t>
  </si>
  <si>
    <t>Total Cost</t>
  </si>
  <si>
    <t>Basic</t>
  </si>
  <si>
    <t>BASIC</t>
  </si>
  <si>
    <t>Customer</t>
  </si>
  <si>
    <t>SAM</t>
  </si>
  <si>
    <t>Accessories</t>
  </si>
  <si>
    <t>Chemicals</t>
  </si>
  <si>
    <t>Leftover Factor</t>
  </si>
  <si>
    <t>Rs</t>
  </si>
  <si>
    <t>Tax &amp; EDS</t>
  </si>
  <si>
    <t>Comm</t>
  </si>
  <si>
    <t>Foreign B Ch &amp; Oth</t>
  </si>
  <si>
    <t>Net Price</t>
  </si>
  <si>
    <t>Inland Freight &amp; Clearing</t>
  </si>
  <si>
    <t>Salaries</t>
  </si>
  <si>
    <t>Selling Price</t>
  </si>
  <si>
    <t>Pre Order Cost Sheet</t>
  </si>
  <si>
    <t>Overheads</t>
  </si>
  <si>
    <t>Rebate (add)</t>
  </si>
  <si>
    <t>4001-5000</t>
  </si>
  <si>
    <t>Repair and Mtc</t>
  </si>
  <si>
    <t>Semi Fashion</t>
  </si>
  <si>
    <t>Fashion</t>
  </si>
  <si>
    <t>High Fashion</t>
  </si>
  <si>
    <t>Sewing</t>
  </si>
  <si>
    <t>Qty.</t>
  </si>
  <si>
    <t>&lt;=500</t>
  </si>
  <si>
    <t>501-1000</t>
  </si>
  <si>
    <t>1001-2000</t>
  </si>
  <si>
    <t>2001-3000</t>
  </si>
  <si>
    <t>3001-4000</t>
  </si>
  <si>
    <t>5001-10000</t>
  </si>
  <si>
    <t>10001-25000</t>
  </si>
  <si>
    <t>&gt;25000</t>
  </si>
  <si>
    <t>F &amp; P</t>
  </si>
  <si>
    <t>SEMI FASHION</t>
  </si>
  <si>
    <t>HIGH FASHION</t>
  </si>
  <si>
    <t>Cost per Minute</t>
  </si>
  <si>
    <t>At Base efficiency</t>
  </si>
  <si>
    <t>Sew</t>
  </si>
  <si>
    <t>FASHION</t>
  </si>
  <si>
    <t>Category</t>
  </si>
  <si>
    <t>Dyeing</t>
  </si>
  <si>
    <t>EW/Biopolish</t>
  </si>
  <si>
    <t>EW/Bleach</t>
  </si>
  <si>
    <t>EW/Caustic</t>
  </si>
  <si>
    <t>Stone Bleach</t>
  </si>
  <si>
    <t>Stone Caustic</t>
  </si>
  <si>
    <t>Stone Wash</t>
  </si>
  <si>
    <t>Pinky Random</t>
  </si>
  <si>
    <t>Bleach Random</t>
  </si>
  <si>
    <t>Snow Random</t>
  </si>
  <si>
    <t>Rinse</t>
  </si>
  <si>
    <t>Rinse/Softner</t>
  </si>
  <si>
    <t>Softner</t>
  </si>
  <si>
    <t>Silicon Ball</t>
  </si>
  <si>
    <t>PROPOSED REJECTION %</t>
  </si>
  <si>
    <t>Extreme Fashion</t>
  </si>
  <si>
    <t>Top Wears</t>
  </si>
  <si>
    <t>Washing</t>
  </si>
  <si>
    <t>Wash Types</t>
  </si>
  <si>
    <t>WIP</t>
  </si>
  <si>
    <t>E1</t>
  </si>
  <si>
    <t>Rate Cost/Min</t>
  </si>
  <si>
    <t>Eff</t>
  </si>
  <si>
    <t>Pc Rate/Min</t>
  </si>
  <si>
    <t>Total Rej%</t>
  </si>
  <si>
    <t>Factoring</t>
  </si>
  <si>
    <t>Markup and Discounting</t>
  </si>
  <si>
    <t>Utilities Cost</t>
  </si>
  <si>
    <t>Dep</t>
  </si>
  <si>
    <t>Cost Per Minute (Sewing Based)</t>
  </si>
  <si>
    <t>Monthly Average</t>
  </si>
  <si>
    <t>CPM @ 100%</t>
  </si>
  <si>
    <t>Sewing Available Minutes</t>
  </si>
  <si>
    <t>Sewing Utilized Minutes</t>
  </si>
  <si>
    <t>Efficiency Achieved</t>
  </si>
  <si>
    <t>Labour Cost</t>
  </si>
  <si>
    <t>RENT</t>
  </si>
  <si>
    <t>Total Direct Labour</t>
  </si>
  <si>
    <t>SALARIES</t>
  </si>
  <si>
    <t>Fixed Cost Break-up</t>
  </si>
  <si>
    <t>Salaries and Wages</t>
  </si>
  <si>
    <t>TRAVELLING EXPENSE</t>
  </si>
  <si>
    <t>Factory Over Heads</t>
  </si>
  <si>
    <t>Repair &amp; maintenance</t>
  </si>
  <si>
    <t>Utilities &amp; Power</t>
  </si>
  <si>
    <t>Rent, rates &amp; taxes</t>
  </si>
  <si>
    <t>Depreciation - owned assets</t>
  </si>
  <si>
    <t>Rent Expenses</t>
  </si>
  <si>
    <t>Printing &amp; Stationary</t>
  </si>
  <si>
    <t>Repair &amp; Maintenance</t>
  </si>
  <si>
    <t>Utility Expenses</t>
  </si>
  <si>
    <t>Insurance Expenses</t>
  </si>
  <si>
    <t>Communication Expenses</t>
  </si>
  <si>
    <t>Legal Expenses</t>
  </si>
  <si>
    <t>Entertainment Expenses</t>
  </si>
  <si>
    <t>Head Office Expenses</t>
  </si>
  <si>
    <t>Depreciation Expenses</t>
  </si>
  <si>
    <t>Loading and unloading exp</t>
  </si>
  <si>
    <t>Computer &amp; It Expenses</t>
  </si>
  <si>
    <t>USA Office Exp</t>
  </si>
  <si>
    <t xml:space="preserve">Washing </t>
  </si>
  <si>
    <t>Other Expenses</t>
  </si>
  <si>
    <t>Overheads Total</t>
  </si>
  <si>
    <t>Total Factory Cost</t>
  </si>
  <si>
    <t>Testing &amp; Compliance</t>
  </si>
  <si>
    <t>Commission Expenses</t>
  </si>
  <si>
    <t>Freight inwards</t>
  </si>
  <si>
    <t>Printing and Embroidery</t>
  </si>
  <si>
    <t xml:space="preserve">RETROJEANS </t>
  </si>
  <si>
    <t>Miniconf</t>
  </si>
  <si>
    <t>Duer</t>
  </si>
  <si>
    <t>FQ1924</t>
  </si>
  <si>
    <t>CASUAL FRIDAY</t>
  </si>
  <si>
    <t>Pulz Jeans</t>
  </si>
  <si>
    <t>B4 Kids</t>
  </si>
  <si>
    <t>BLUECRAFT</t>
  </si>
  <si>
    <t>STOOKER</t>
  </si>
  <si>
    <t>DR DENIM</t>
  </si>
  <si>
    <t>UNITED BRANDS</t>
  </si>
  <si>
    <t>Blend</t>
  </si>
  <si>
    <t>LOIS</t>
  </si>
  <si>
    <t>OVER/D</t>
  </si>
  <si>
    <t>DK COMPANY VEJLE A/S</t>
  </si>
  <si>
    <t>CM/Pc</t>
  </si>
  <si>
    <t>CM/Minute</t>
  </si>
  <si>
    <t>FOH/Admin</t>
  </si>
  <si>
    <t>Conversion Cost per Minute</t>
  </si>
  <si>
    <t>ApprovAL Sample</t>
  </si>
  <si>
    <t>Costing Date(mm/dd/yy)</t>
  </si>
  <si>
    <t>Current Date</t>
  </si>
  <si>
    <t>Target FOB/PC</t>
  </si>
  <si>
    <t>Customer Name:</t>
  </si>
  <si>
    <t>Costing Stage</t>
  </si>
  <si>
    <t>Quote</t>
  </si>
  <si>
    <t>Order FOB/PC</t>
  </si>
  <si>
    <t>Order Type</t>
  </si>
  <si>
    <t>Country</t>
  </si>
  <si>
    <t>SPAIN</t>
  </si>
  <si>
    <t>Order CM/PC</t>
  </si>
  <si>
    <t xml:space="preserve">Style </t>
  </si>
  <si>
    <t>TR  298 VITA</t>
  </si>
  <si>
    <t>Payment Terms</t>
  </si>
  <si>
    <t>Target CM/SMV-Cents</t>
  </si>
  <si>
    <t>Style Category</t>
  </si>
  <si>
    <t>Order CM-SMV-Cents</t>
  </si>
  <si>
    <t>Order Quantity pcs</t>
  </si>
  <si>
    <t>Shipment mode</t>
  </si>
  <si>
    <t>Sea</t>
  </si>
  <si>
    <t xml:space="preserve">SMV </t>
  </si>
  <si>
    <t>Per Color Quantity pcs</t>
  </si>
  <si>
    <t>Delivery terms</t>
  </si>
  <si>
    <t>FOB</t>
  </si>
  <si>
    <t>Manpower Per Line</t>
  </si>
  <si>
    <t>No of Color</t>
  </si>
  <si>
    <t>Merch_Group</t>
  </si>
  <si>
    <t>Wash Type :</t>
  </si>
  <si>
    <t>Delv. Distination</t>
  </si>
  <si>
    <t>EURO</t>
  </si>
  <si>
    <t>Avg. Efficiency</t>
  </si>
  <si>
    <t>Rejection %</t>
  </si>
  <si>
    <t>Ex fty Date(mm/dd/yy)</t>
  </si>
  <si>
    <t>Avg. Line Target</t>
  </si>
  <si>
    <t>Inhouse/Sub-contract</t>
  </si>
  <si>
    <t>Denim</t>
  </si>
  <si>
    <t>Non Denim</t>
  </si>
  <si>
    <t>Men's Pant</t>
  </si>
  <si>
    <t>Ladies Pant</t>
  </si>
  <si>
    <t>Top Ware</t>
  </si>
  <si>
    <t>Kid's Pant</t>
  </si>
  <si>
    <t>Boys Pant</t>
  </si>
  <si>
    <t>Girls Pant</t>
  </si>
  <si>
    <t>1</t>
  </si>
  <si>
    <t>CMT</t>
  </si>
  <si>
    <t>Final</t>
  </si>
  <si>
    <t>Air</t>
  </si>
  <si>
    <t>DDP/LDP</t>
  </si>
  <si>
    <t>CIF</t>
  </si>
  <si>
    <t>CFR</t>
  </si>
  <si>
    <t>USA</t>
  </si>
  <si>
    <t>INHOUSE</t>
  </si>
  <si>
    <t xml:space="preserve">LC at Sight </t>
  </si>
  <si>
    <t>Advance</t>
  </si>
  <si>
    <t>Commission %</t>
  </si>
  <si>
    <t>Cost</t>
  </si>
  <si>
    <t>Fabric_1</t>
  </si>
  <si>
    <t>Fabric_2</t>
  </si>
  <si>
    <t>Fabric_3</t>
  </si>
  <si>
    <t>Fabric_4</t>
  </si>
  <si>
    <t>Lining_1</t>
  </si>
  <si>
    <t>Lining_2</t>
  </si>
  <si>
    <t>Lining_3</t>
  </si>
  <si>
    <t>Lining_4</t>
  </si>
  <si>
    <t>Item Name</t>
  </si>
  <si>
    <t>Cons. / Pc</t>
  </si>
  <si>
    <t>UOM</t>
  </si>
  <si>
    <t>Zippers</t>
  </si>
  <si>
    <t>Printing Charges</t>
  </si>
  <si>
    <t>Inspection Charges</t>
  </si>
  <si>
    <t>Labels</t>
  </si>
  <si>
    <t>Poly Bags</t>
  </si>
  <si>
    <t>Trims Mix Materials</t>
  </si>
  <si>
    <t>Tag</t>
  </si>
  <si>
    <t>Cartons</t>
  </si>
  <si>
    <t>Button &amp; Rivets</t>
  </si>
  <si>
    <t>Packing Mix Materials</t>
  </si>
  <si>
    <t>Testing Charges</t>
  </si>
  <si>
    <t>Emboridry</t>
  </si>
  <si>
    <t>Thread</t>
  </si>
  <si>
    <t>Sticker</t>
  </si>
  <si>
    <t>Pocket Lining</t>
  </si>
  <si>
    <t>Before Wash</t>
  </si>
  <si>
    <t>After Wash</t>
  </si>
  <si>
    <t>Other Cost</t>
  </si>
  <si>
    <t>Chemcial Cost</t>
  </si>
  <si>
    <t>Fabric_5</t>
  </si>
  <si>
    <t>Lining_5</t>
  </si>
  <si>
    <t>FVG0562 Black IAF-3605</t>
  </si>
  <si>
    <t>Mtr</t>
  </si>
  <si>
    <t>IAF-34663%4% 65:35 PC</t>
  </si>
  <si>
    <t>Pcs</t>
  </si>
  <si>
    <t>Local Bank Charges</t>
  </si>
  <si>
    <t xml:space="preserve"> EBITDA/Min-Cents</t>
  </si>
  <si>
    <t xml:space="preserve"> EBITDA/PC</t>
  </si>
  <si>
    <t>Net Profit/PC</t>
  </si>
  <si>
    <t>Net  Profit/Min-Cents</t>
  </si>
  <si>
    <t>Net Profit % on FOB</t>
  </si>
  <si>
    <t>Zara</t>
  </si>
  <si>
    <t>Indus Plus (Pvt) Ltd.</t>
  </si>
  <si>
    <t>Ayaz</t>
  </si>
  <si>
    <t>Total Variable Cost</t>
  </si>
  <si>
    <t>DA</t>
  </si>
  <si>
    <t>LC-30 days</t>
  </si>
  <si>
    <t>LC-45 days</t>
  </si>
  <si>
    <t>LC-60 days</t>
  </si>
  <si>
    <t>LC-75 days</t>
  </si>
  <si>
    <t>LC-90 days</t>
  </si>
  <si>
    <t>LC-120 days</t>
  </si>
  <si>
    <t>Parity-Sale</t>
  </si>
  <si>
    <t>Parity-Procurement</t>
  </si>
  <si>
    <t>Rate-Pkr</t>
  </si>
  <si>
    <t>Rate-$</t>
  </si>
  <si>
    <t>Discount Rate</t>
  </si>
  <si>
    <t>Days</t>
  </si>
  <si>
    <t>Depreciation</t>
  </si>
  <si>
    <t>General Overheads</t>
  </si>
  <si>
    <t>FOH/Pcs</t>
  </si>
  <si>
    <t>FOH</t>
  </si>
  <si>
    <t>Direct Cost/Pcs</t>
  </si>
  <si>
    <t>Direct Cost</t>
  </si>
  <si>
    <t>Eff.</t>
  </si>
  <si>
    <t>Cost/Pcs</t>
  </si>
  <si>
    <t>Mustang &amp; Others</t>
  </si>
  <si>
    <t>Customers</t>
  </si>
  <si>
    <t>total</t>
  </si>
  <si>
    <t>Style Name</t>
  </si>
  <si>
    <t>Customer Name</t>
  </si>
  <si>
    <t>Wash Type</t>
  </si>
  <si>
    <t>Order Quantity</t>
  </si>
  <si>
    <t>Selling Expenses</t>
  </si>
  <si>
    <t>Fabric Con.</t>
  </si>
  <si>
    <t>Fabric Rate</t>
  </si>
  <si>
    <t>Fabric Cost</t>
  </si>
  <si>
    <t>Lining Cost</t>
  </si>
  <si>
    <t>Accessories Cost</t>
  </si>
  <si>
    <t>Chemical Cost</t>
  </si>
  <si>
    <t>Total Material Cost</t>
  </si>
  <si>
    <t>Total OH Cost</t>
  </si>
  <si>
    <t>Fabric Code</t>
  </si>
  <si>
    <t>Lining Code</t>
  </si>
  <si>
    <t>Direct Labour</t>
  </si>
  <si>
    <t>Utility Cost</t>
  </si>
  <si>
    <t>Travel &amp; Accommodation (Fuel +Car Allowances)</t>
  </si>
  <si>
    <t>Transportation Expense A/C</t>
  </si>
  <si>
    <t>Foreign Travelling</t>
  </si>
  <si>
    <t>Entertainment - Staff / Canteen / Worker Welfar exp</t>
  </si>
  <si>
    <t>R&amp;M</t>
  </si>
  <si>
    <t>D. Labour</t>
  </si>
  <si>
    <t>Utilities</t>
  </si>
  <si>
    <t>Depr.</t>
  </si>
  <si>
    <t>Variance</t>
  </si>
  <si>
    <t>Available SAM</t>
  </si>
  <si>
    <t>Cost/SAM w/o Eff.</t>
  </si>
  <si>
    <t>V10_Feb2026</t>
  </si>
  <si>
    <t>V10_Jun2026</t>
  </si>
  <si>
    <t>Description</t>
  </si>
  <si>
    <t>Bank Charges</t>
  </si>
  <si>
    <t>ADMIN &amp; SELLING</t>
  </si>
  <si>
    <t>Financial Charges</t>
  </si>
  <si>
    <t>Taxation</t>
  </si>
  <si>
    <t>Rebate</t>
  </si>
  <si>
    <t>Exchange Rate</t>
  </si>
  <si>
    <t>CUT-TO-SHIP GRID</t>
  </si>
  <si>
    <t>REJECTION GRID</t>
  </si>
  <si>
    <t>CUSTOMER WISE COMMISSION</t>
  </si>
  <si>
    <t>Taxes</t>
  </si>
  <si>
    <t>EDS</t>
  </si>
  <si>
    <t>DATA AS %AGE OF SALES</t>
  </si>
  <si>
    <t>DIRECT LABOUR &amp; FOH</t>
  </si>
  <si>
    <t>DESCRIPTION</t>
  </si>
  <si>
    <t>COST/SAM</t>
  </si>
  <si>
    <t>Manufacturing FOH</t>
  </si>
  <si>
    <t>Inland/Export freight</t>
  </si>
  <si>
    <t>OTHER EXPENSES</t>
  </si>
  <si>
    <t>%AGE OF SALES</t>
  </si>
  <si>
    <t>STYLE NAME</t>
  </si>
  <si>
    <t>1~18</t>
  </si>
  <si>
    <t>19~23</t>
  </si>
  <si>
    <t>24~36</t>
  </si>
  <si>
    <t>&gt;37</t>
  </si>
  <si>
    <t>SAM/PC</t>
  </si>
  <si>
    <t>ORDER TYPE</t>
  </si>
  <si>
    <t>Non-Denim</t>
  </si>
  <si>
    <t>STYLE CATEGORY</t>
  </si>
  <si>
    <t>Boy's Pant</t>
  </si>
  <si>
    <t>WASH TYPE</t>
  </si>
  <si>
    <t>Soft Wash</t>
  </si>
  <si>
    <t>etc.</t>
  </si>
  <si>
    <t>PAYMENT TERMS</t>
  </si>
  <si>
    <t>LC 60 DAYS</t>
  </si>
  <si>
    <t>ADVANCE</t>
  </si>
  <si>
    <t>DELIVERY TERMS</t>
  </si>
  <si>
    <t>CIR</t>
  </si>
  <si>
    <t>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</si>
</sst>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mmm\-yy;@"/>
    <numFmt numFmtId="168" formatCode="0.0%"/>
    <numFmt numFmtId="169" formatCode="[$-409]mmm/yy;@"/>
    <numFmt numFmtId="170" formatCode="0.000%"/>
    <numFmt numFmtId="171" formatCode="0.00&quot;%&quot;"/>
    <numFmt numFmtId="172" formatCode="#,##0.0"/>
    <numFmt numFmtId="173" formatCode="[$-409]dd\-mmm\-yy;@"/>
    <numFmt numFmtId="174" formatCode="[$-409]mmmm\ d\,\ yyyy;@"/>
    <numFmt numFmtId="175" formatCode="[$-409]d\-mmm\-yy;@"/>
    <numFmt numFmtId="176" formatCode="_(* #,##0.0000_);_(* \(#,##0.0000\);_(* &quot;-&quot;??_);_(@_)"/>
    <numFmt numFmtId="177" formatCode="_(* #,##0.0_);_(* \(#,##0.0\);_(* &quot;-&quot;??_);_(@_)"/>
    <numFmt numFmtId="178" formatCode=";;;"/>
  </numFmts>
  <fonts count="88" x14ac:knownFonts="1">
    <font>
      <sz val="10"/>
      <name val="Arial"/>
    </font>
    <font>
      <sz val="11"/>
      <color theme="1"/>
      <name val="Century Schoolbook"/>
      <family val="2"/>
      <scheme val="minor"/>
    </font>
    <font>
      <sz val="11"/>
      <color theme="1"/>
      <name val="Calibri"/>
      <family val="2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charset val="1"/>
      <scheme val="minor"/>
    </font>
    <font>
      <sz val="11"/>
      <color theme="1"/>
      <name val="Century Schoolbook"/>
      <family val="2"/>
      <charset val="1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Arial"/>
      <family val="2"/>
    </font>
    <font>
      <u/>
      <sz val="11"/>
      <color theme="10"/>
      <name val="Century Schoolbook"/>
      <family val="2"/>
      <scheme val="minor"/>
    </font>
    <font>
      <sz val="10"/>
      <name val="Arial"/>
      <family val="2"/>
    </font>
    <font>
      <sz val="11"/>
      <color theme="1"/>
      <name val="Century Schoolbook"/>
      <family val="2"/>
      <scheme val="minor"/>
    </font>
    <font>
      <sz val="10"/>
      <name val="Bahnschrift Light Condensed"/>
      <family val="2"/>
    </font>
    <font>
      <b/>
      <sz val="10"/>
      <name val="Bahnschrift Light Condensed"/>
      <family val="2"/>
    </font>
    <font>
      <b/>
      <sz val="11"/>
      <color theme="1"/>
      <name val="Bahnschrift Light Condensed"/>
      <family val="2"/>
    </font>
    <font>
      <b/>
      <sz val="10"/>
      <color theme="1"/>
      <name val="Bahnschrift Light Condensed"/>
      <family val="2"/>
    </font>
    <font>
      <sz val="9"/>
      <name val="Bahnschrift Light Condensed"/>
      <family val="2"/>
    </font>
    <font>
      <sz val="11"/>
      <color theme="1"/>
      <name val="Bahnschrift Light Condensed"/>
      <family val="2"/>
    </font>
    <font>
      <sz val="10.5"/>
      <color theme="1"/>
      <name val="Bahnschrift Light Condensed"/>
      <family val="2"/>
    </font>
    <font>
      <b/>
      <sz val="10.5"/>
      <color theme="1"/>
      <name val="Bahnschrift Light Condensed"/>
      <family val="2"/>
    </font>
    <font>
      <b/>
      <sz val="13"/>
      <color theme="1"/>
      <name val="Bahnschrift Light Condensed"/>
      <family val="2"/>
    </font>
    <font>
      <b/>
      <sz val="9"/>
      <name val="Bahnschrift Light Condensed"/>
      <family val="2"/>
    </font>
    <font>
      <sz val="10"/>
      <name val="Bahnschrift Condensed"/>
      <family val="2"/>
    </font>
    <font>
      <b/>
      <sz val="10"/>
      <color rgb="FF3333CC"/>
      <name val="Bahnschrift Condensed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9"/>
      <color rgb="FF3333FF"/>
      <name val="Century Gothic"/>
      <family val="2"/>
    </font>
    <font>
      <b/>
      <sz val="9"/>
      <color rgb="FF3333FF"/>
      <name val="Century Gothic"/>
      <family val="2"/>
    </font>
    <font>
      <b/>
      <sz val="10"/>
      <color rgb="FF00B0F0"/>
      <name val="Century Gothic"/>
      <family val="2"/>
    </font>
    <font>
      <b/>
      <sz val="9"/>
      <color rgb="FF00B0F0"/>
      <name val="Century Gothic"/>
      <family val="2"/>
    </font>
    <font>
      <b/>
      <sz val="8"/>
      <color rgb="FF3333FF"/>
      <name val="Century Gothic"/>
      <family val="2"/>
    </font>
    <font>
      <sz val="8"/>
      <color rgb="FF3333FF"/>
      <name val="Century Gothic"/>
      <family val="2"/>
    </font>
    <font>
      <b/>
      <sz val="36"/>
      <color rgb="FF3333FF"/>
      <name val="Century Gothic"/>
      <family val="2"/>
    </font>
    <font>
      <b/>
      <sz val="22"/>
      <color rgb="FF3333FF"/>
      <name val="Century Gothic"/>
      <family val="2"/>
    </font>
    <font>
      <b/>
      <sz val="10"/>
      <color rgb="FFFF0000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b/>
      <sz val="11"/>
      <color theme="1"/>
      <name val="Century Gothic"/>
      <family val="2"/>
    </font>
    <font>
      <sz val="15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color rgb="FFA50021"/>
      <name val="Century Gothic"/>
      <family val="2"/>
    </font>
    <font>
      <sz val="10"/>
      <color theme="1"/>
      <name val="Century Gothic"/>
      <family val="2"/>
    </font>
    <font>
      <b/>
      <u/>
      <sz val="12"/>
      <color rgb="FF003366"/>
      <name val="Century Gothic"/>
      <family val="2"/>
    </font>
    <font>
      <sz val="11"/>
      <name val="Century Gothic"/>
      <family val="2"/>
    </font>
    <font>
      <b/>
      <sz val="14"/>
      <name val="Century Gothic"/>
      <family val="2"/>
    </font>
    <font>
      <b/>
      <sz val="11"/>
      <color rgb="FFFF0000"/>
      <name val="Century Gothic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0"/>
      <color rgb="FF0070C0"/>
      <name val="Century Gothic"/>
      <family val="2"/>
    </font>
    <font>
      <b/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E399"/>
        <bgColor indexed="64"/>
      </patternFill>
    </fill>
    <fill>
      <patternFill patternType="solid">
        <fgColor theme="7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8">
    <xf numFmtId="167" fontId="0" fillId="0" borderId="0"/>
    <xf numFmtId="167" fontId="19" fillId="2" borderId="0" applyNumberFormat="0" applyBorder="0" applyAlignment="0" applyProtection="0"/>
    <xf numFmtId="167" fontId="19" fillId="3" borderId="0" applyNumberFormat="0" applyBorder="0" applyAlignment="0" applyProtection="0"/>
    <xf numFmtId="167" fontId="19" fillId="4" borderId="0" applyNumberFormat="0" applyBorder="0" applyAlignment="0" applyProtection="0"/>
    <xf numFmtId="167" fontId="19" fillId="5" borderId="0" applyNumberFormat="0" applyBorder="0" applyAlignment="0" applyProtection="0"/>
    <xf numFmtId="167" fontId="19" fillId="6" borderId="0" applyNumberFormat="0" applyBorder="0" applyAlignment="0" applyProtection="0"/>
    <xf numFmtId="167" fontId="19" fillId="7" borderId="0" applyNumberFormat="0" applyBorder="0" applyAlignment="0" applyProtection="0"/>
    <xf numFmtId="167" fontId="19" fillId="8" borderId="0" applyNumberFormat="0" applyBorder="0" applyAlignment="0" applyProtection="0"/>
    <xf numFmtId="167" fontId="19" fillId="9" borderId="0" applyNumberFormat="0" applyBorder="0" applyAlignment="0" applyProtection="0"/>
    <xf numFmtId="167" fontId="19" fillId="10" borderId="0" applyNumberFormat="0" applyBorder="0" applyAlignment="0" applyProtection="0"/>
    <xf numFmtId="167" fontId="19" fillId="5" borderId="0" applyNumberFormat="0" applyBorder="0" applyAlignment="0" applyProtection="0"/>
    <xf numFmtId="167" fontId="19" fillId="8" borderId="0" applyNumberFormat="0" applyBorder="0" applyAlignment="0" applyProtection="0"/>
    <xf numFmtId="167" fontId="19" fillId="11" borderId="0" applyNumberFormat="0" applyBorder="0" applyAlignment="0" applyProtection="0"/>
    <xf numFmtId="167" fontId="20" fillId="12" borderId="0" applyNumberFormat="0" applyBorder="0" applyAlignment="0" applyProtection="0"/>
    <xf numFmtId="167" fontId="20" fillId="9" borderId="0" applyNumberFormat="0" applyBorder="0" applyAlignment="0" applyProtection="0"/>
    <xf numFmtId="167" fontId="20" fillId="10" borderId="0" applyNumberFormat="0" applyBorder="0" applyAlignment="0" applyProtection="0"/>
    <xf numFmtId="167" fontId="20" fillId="13" borderId="0" applyNumberFormat="0" applyBorder="0" applyAlignment="0" applyProtection="0"/>
    <xf numFmtId="167" fontId="20" fillId="14" borderId="0" applyNumberFormat="0" applyBorder="0" applyAlignment="0" applyProtection="0"/>
    <xf numFmtId="167" fontId="20" fillId="15" borderId="0" applyNumberFormat="0" applyBorder="0" applyAlignment="0" applyProtection="0"/>
    <xf numFmtId="167" fontId="20" fillId="16" borderId="0" applyNumberFormat="0" applyBorder="0" applyAlignment="0" applyProtection="0"/>
    <xf numFmtId="167" fontId="20" fillId="17" borderId="0" applyNumberFormat="0" applyBorder="0" applyAlignment="0" applyProtection="0"/>
    <xf numFmtId="167" fontId="20" fillId="18" borderId="0" applyNumberFormat="0" applyBorder="0" applyAlignment="0" applyProtection="0"/>
    <xf numFmtId="167" fontId="20" fillId="13" borderId="0" applyNumberFormat="0" applyBorder="0" applyAlignment="0" applyProtection="0"/>
    <xf numFmtId="167" fontId="20" fillId="14" borderId="0" applyNumberFormat="0" applyBorder="0" applyAlignment="0" applyProtection="0"/>
    <xf numFmtId="167" fontId="20" fillId="19" borderId="0" applyNumberFormat="0" applyBorder="0" applyAlignment="0" applyProtection="0"/>
    <xf numFmtId="167" fontId="21" fillId="3" borderId="0" applyNumberFormat="0" applyBorder="0" applyAlignment="0" applyProtection="0"/>
    <xf numFmtId="167" fontId="22" fillId="20" borderId="1" applyNumberFormat="0" applyAlignment="0" applyProtection="0"/>
    <xf numFmtId="167" fontId="23" fillId="21" borderId="2" applyNumberFormat="0" applyAlignment="0" applyProtection="0"/>
    <xf numFmtId="43" fontId="15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4" fillId="0" borderId="0" applyNumberFormat="0" applyFill="0" applyBorder="0" applyAlignment="0" applyProtection="0"/>
    <xf numFmtId="167" fontId="25" fillId="4" borderId="0" applyNumberFormat="0" applyBorder="0" applyAlignment="0" applyProtection="0"/>
    <xf numFmtId="167" fontId="26" fillId="0" borderId="3" applyNumberFormat="0" applyFill="0" applyAlignment="0" applyProtection="0"/>
    <xf numFmtId="167" fontId="27" fillId="0" borderId="4" applyNumberFormat="0" applyFill="0" applyAlignment="0" applyProtection="0"/>
    <xf numFmtId="167" fontId="28" fillId="0" borderId="5" applyNumberFormat="0" applyFill="0" applyAlignment="0" applyProtection="0"/>
    <xf numFmtId="167" fontId="28" fillId="0" borderId="0" applyNumberFormat="0" applyFill="0" applyBorder="0" applyAlignment="0" applyProtection="0"/>
    <xf numFmtId="167" fontId="29" fillId="7" borderId="1" applyNumberFormat="0" applyAlignment="0" applyProtection="0"/>
    <xf numFmtId="167" fontId="30" fillId="0" borderId="6" applyNumberFormat="0" applyFill="0" applyAlignment="0" applyProtection="0"/>
    <xf numFmtId="167" fontId="31" fillId="22" borderId="0" applyNumberFormat="0" applyBorder="0" applyAlignment="0" applyProtection="0"/>
    <xf numFmtId="167" fontId="17" fillId="0" borderId="0">
      <alignment vertical="top"/>
    </xf>
    <xf numFmtId="167" fontId="17" fillId="0" borderId="0"/>
    <xf numFmtId="167" fontId="16" fillId="23" borderId="7" applyNumberFormat="0" applyFont="0" applyAlignment="0" applyProtection="0"/>
    <xf numFmtId="167" fontId="32" fillId="20" borderId="8" applyNumberFormat="0" applyAlignment="0" applyProtection="0"/>
    <xf numFmtId="9" fontId="15" fillId="0" borderId="0" applyFont="0" applyFill="0" applyBorder="0" applyAlignment="0" applyProtection="0"/>
    <xf numFmtId="167" fontId="18" fillId="0" borderId="0">
      <alignment vertical="top"/>
    </xf>
    <xf numFmtId="167" fontId="33" fillId="0" borderId="0" applyNumberFormat="0" applyFill="0" applyBorder="0" applyAlignment="0" applyProtection="0"/>
    <xf numFmtId="167" fontId="34" fillId="0" borderId="9" applyNumberFormat="0" applyFill="0" applyAlignment="0" applyProtection="0"/>
    <xf numFmtId="167" fontId="35" fillId="0" borderId="0" applyNumberFormat="0" applyFill="0" applyBorder="0" applyAlignment="0" applyProtection="0"/>
    <xf numFmtId="167" fontId="14" fillId="0" borderId="0"/>
    <xf numFmtId="43" fontId="14" fillId="0" borderId="0" applyFont="0" applyFill="0" applyBorder="0" applyAlignment="0" applyProtection="0"/>
    <xf numFmtId="167" fontId="13" fillId="0" borderId="0"/>
    <xf numFmtId="43" fontId="13" fillId="0" borderId="0" applyFont="0" applyFill="0" applyBorder="0" applyAlignment="0" applyProtection="0"/>
    <xf numFmtId="167" fontId="36" fillId="0" borderId="0"/>
    <xf numFmtId="167" fontId="15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43" fontId="1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38" fontId="15" fillId="0" borderId="0" applyFont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167" fontId="6" fillId="0" borderId="0"/>
    <xf numFmtId="43" fontId="6" fillId="0" borderId="0" applyFont="0" applyFill="0" applyBorder="0" applyAlignment="0" applyProtection="0"/>
    <xf numFmtId="0" fontId="39" fillId="0" borderId="0"/>
    <xf numFmtId="164" fontId="39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7" fontId="15" fillId="0" borderId="0"/>
    <xf numFmtId="0" fontId="4" fillId="0" borderId="0"/>
    <xf numFmtId="164" fontId="1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5" fillId="0" borderId="0"/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2" fillId="0" borderId="0" applyFont="0" applyFill="0" applyBorder="0" applyAlignment="0" applyProtection="0"/>
  </cellStyleXfs>
  <cellXfs count="450">
    <xf numFmtId="167" fontId="0" fillId="0" borderId="0" xfId="0"/>
    <xf numFmtId="167" fontId="15" fillId="0" borderId="0" xfId="0" applyFont="1"/>
    <xf numFmtId="0" fontId="45" fillId="0" borderId="0" xfId="87" applyFont="1"/>
    <xf numFmtId="0" fontId="46" fillId="0" borderId="0" xfId="87" applyFont="1"/>
    <xf numFmtId="0" fontId="47" fillId="32" borderId="10" xfId="90" applyFont="1" applyFill="1" applyBorder="1" applyAlignment="1">
      <alignment vertical="center"/>
    </xf>
    <xf numFmtId="0" fontId="47" fillId="0" borderId="10" xfId="90" applyFont="1" applyBorder="1" applyAlignment="1">
      <alignment horizontal="left" vertical="center"/>
    </xf>
    <xf numFmtId="10" fontId="46" fillId="0" borderId="10" xfId="91" applyNumberFormat="1" applyFont="1" applyBorder="1" applyAlignment="1">
      <alignment horizontal="center" vertical="center"/>
    </xf>
    <xf numFmtId="170" fontId="46" fillId="0" borderId="10" xfId="91" applyNumberFormat="1" applyFont="1" applyBorder="1" applyAlignment="1">
      <alignment horizontal="center" vertical="center"/>
    </xf>
    <xf numFmtId="10" fontId="46" fillId="24" borderId="10" xfId="91" applyNumberFormat="1" applyFont="1" applyFill="1" applyBorder="1" applyAlignment="1">
      <alignment horizontal="center" vertical="center"/>
    </xf>
    <xf numFmtId="10" fontId="46" fillId="0" borderId="0" xfId="87" applyNumberFormat="1" applyFont="1"/>
    <xf numFmtId="0" fontId="42" fillId="32" borderId="10" xfId="90" applyFont="1" applyFill="1" applyBorder="1" applyAlignment="1">
      <alignment vertical="center"/>
    </xf>
    <xf numFmtId="0" fontId="45" fillId="31" borderId="10" xfId="87" applyFont="1" applyFill="1" applyBorder="1"/>
    <xf numFmtId="0" fontId="42" fillId="32" borderId="21" xfId="90" applyFont="1" applyFill="1" applyBorder="1" applyAlignment="1">
      <alignment horizontal="center" vertical="center"/>
    </xf>
    <xf numFmtId="0" fontId="42" fillId="32" borderId="20" xfId="90" applyFont="1" applyFill="1" applyBorder="1" applyAlignment="1">
      <alignment horizontal="center" vertical="center"/>
    </xf>
    <xf numFmtId="167" fontId="50" fillId="27" borderId="43" xfId="0" applyFont="1" applyFill="1" applyBorder="1" applyAlignment="1">
      <alignment horizontal="left"/>
    </xf>
    <xf numFmtId="171" fontId="46" fillId="28" borderId="46" xfId="87" applyNumberFormat="1" applyFont="1" applyFill="1" applyBorder="1" applyAlignment="1">
      <alignment horizontal="center"/>
    </xf>
    <xf numFmtId="171" fontId="46" fillId="0" borderId="46" xfId="87" applyNumberFormat="1" applyFont="1" applyBorder="1" applyAlignment="1">
      <alignment horizontal="center"/>
    </xf>
    <xf numFmtId="0" fontId="42" fillId="32" borderId="21" xfId="90" applyFont="1" applyFill="1" applyBorder="1" applyAlignment="1">
      <alignment vertical="center" textRotation="180" wrapText="1"/>
    </xf>
    <xf numFmtId="43" fontId="47" fillId="28" borderId="0" xfId="28" applyFont="1" applyFill="1" applyAlignment="1">
      <alignment vertical="center"/>
    </xf>
    <xf numFmtId="167" fontId="50" fillId="27" borderId="54" xfId="0" applyFont="1" applyFill="1" applyBorder="1" applyAlignment="1">
      <alignment horizontal="left"/>
    </xf>
    <xf numFmtId="167" fontId="51" fillId="0" borderId="46" xfId="0" applyFont="1" applyBorder="1"/>
    <xf numFmtId="0" fontId="47" fillId="0" borderId="46" xfId="90" applyFont="1" applyBorder="1" applyAlignment="1">
      <alignment horizontal="left" vertical="center"/>
    </xf>
    <xf numFmtId="171" fontId="46" fillId="0" borderId="46" xfId="91" applyNumberFormat="1" applyFont="1" applyFill="1" applyBorder="1" applyAlignment="1">
      <alignment horizontal="center" vertical="center"/>
    </xf>
    <xf numFmtId="10" fontId="46" fillId="0" borderId="46" xfId="91" applyNumberFormat="1" applyFont="1" applyFill="1" applyBorder="1" applyAlignment="1">
      <alignment horizontal="center" vertical="center"/>
    </xf>
    <xf numFmtId="43" fontId="55" fillId="35" borderId="14" xfId="28" applyFont="1" applyFill="1" applyBorder="1" applyAlignment="1" applyProtection="1">
      <alignment horizontal="left"/>
    </xf>
    <xf numFmtId="167" fontId="54" fillId="0" borderId="14" xfId="0" applyFont="1" applyBorder="1" applyProtection="1">
      <protection locked="0"/>
    </xf>
    <xf numFmtId="44" fontId="55" fillId="26" borderId="0" xfId="97" applyFont="1" applyFill="1" applyBorder="1" applyProtection="1">
      <protection locked="0"/>
    </xf>
    <xf numFmtId="167" fontId="54" fillId="35" borderId="14" xfId="0" applyFont="1" applyFill="1" applyBorder="1" applyProtection="1">
      <protection locked="0"/>
    </xf>
    <xf numFmtId="44" fontId="55" fillId="35" borderId="0" xfId="97" applyFont="1" applyFill="1" applyBorder="1" applyAlignment="1" applyProtection="1">
      <alignment horizontal="left"/>
    </xf>
    <xf numFmtId="167" fontId="56" fillId="35" borderId="14" xfId="0" applyFont="1" applyFill="1" applyBorder="1" applyProtection="1">
      <protection locked="0"/>
    </xf>
    <xf numFmtId="43" fontId="55" fillId="35" borderId="51" xfId="28" applyFont="1" applyFill="1" applyBorder="1" applyAlignment="1" applyProtection="1">
      <alignment horizontal="left"/>
    </xf>
    <xf numFmtId="39" fontId="55" fillId="26" borderId="50" xfId="28" applyNumberFormat="1" applyFont="1" applyFill="1" applyBorder="1" applyAlignment="1" applyProtection="1">
      <alignment horizontal="right"/>
      <protection locked="0"/>
    </xf>
    <xf numFmtId="166" fontId="54" fillId="35" borderId="0" xfId="28" applyNumberFormat="1" applyFont="1" applyFill="1" applyBorder="1" applyAlignment="1" applyProtection="1">
      <alignment horizontal="center" vertical="center"/>
    </xf>
    <xf numFmtId="49" fontId="54" fillId="26" borderId="0" xfId="28" applyNumberFormat="1" applyFont="1" applyFill="1" applyBorder="1" applyAlignment="1" applyProtection="1">
      <alignment horizontal="center"/>
      <protection locked="0"/>
    </xf>
    <xf numFmtId="0" fontId="54" fillId="36" borderId="14" xfId="43" applyNumberFormat="1" applyFont="1" applyFill="1" applyBorder="1" applyProtection="1">
      <protection locked="0"/>
    </xf>
    <xf numFmtId="166" fontId="55" fillId="35" borderId="14" xfId="28" applyNumberFormat="1" applyFont="1" applyFill="1" applyBorder="1" applyAlignment="1" applyProtection="1">
      <alignment horizontal="left"/>
    </xf>
    <xf numFmtId="166" fontId="54" fillId="26" borderId="0" xfId="28" applyNumberFormat="1" applyFont="1" applyFill="1" applyBorder="1" applyAlignment="1" applyProtection="1">
      <alignment horizontal="center" vertical="center"/>
      <protection locked="0"/>
    </xf>
    <xf numFmtId="170" fontId="66" fillId="24" borderId="0" xfId="43" applyNumberFormat="1" applyFont="1" applyFill="1" applyBorder="1" applyAlignment="1" applyProtection="1">
      <alignment horizontal="left"/>
    </xf>
    <xf numFmtId="167" fontId="57" fillId="0" borderId="48" xfId="0" applyFont="1" applyBorder="1" applyProtection="1">
      <protection locked="0"/>
    </xf>
    <xf numFmtId="167" fontId="57" fillId="0" borderId="49" xfId="0" applyFont="1" applyBorder="1" applyProtection="1">
      <protection locked="0"/>
    </xf>
    <xf numFmtId="167" fontId="57" fillId="0" borderId="50" xfId="0" applyFont="1" applyBorder="1" applyProtection="1">
      <protection locked="0"/>
    </xf>
    <xf numFmtId="3" fontId="53" fillId="0" borderId="58" xfId="28" applyNumberFormat="1" applyFont="1" applyBorder="1" applyProtection="1">
      <protection locked="0"/>
    </xf>
    <xf numFmtId="167" fontId="53" fillId="0" borderId="11" xfId="0" applyFont="1" applyBorder="1" applyProtection="1">
      <protection locked="0"/>
    </xf>
    <xf numFmtId="43" fontId="53" fillId="0" borderId="11" xfId="28" applyFont="1" applyBorder="1" applyProtection="1">
      <protection locked="0"/>
    </xf>
    <xf numFmtId="166" fontId="53" fillId="0" borderId="11" xfId="28" applyNumberFormat="1" applyFont="1" applyBorder="1" applyProtection="1">
      <protection locked="0"/>
    </xf>
    <xf numFmtId="43" fontId="53" fillId="0" borderId="59" xfId="28" applyFont="1" applyBorder="1" applyProtection="1">
      <protection locked="0"/>
    </xf>
    <xf numFmtId="3" fontId="53" fillId="0" borderId="60" xfId="28" applyNumberFormat="1" applyFont="1" applyBorder="1" applyProtection="1">
      <protection locked="0"/>
    </xf>
    <xf numFmtId="167" fontId="53" fillId="0" borderId="38" xfId="0" applyFont="1" applyBorder="1" applyProtection="1">
      <protection locked="0"/>
    </xf>
    <xf numFmtId="43" fontId="53" fillId="0" borderId="38" xfId="28" applyFont="1" applyBorder="1" applyProtection="1">
      <protection locked="0"/>
    </xf>
    <xf numFmtId="43" fontId="53" fillId="0" borderId="61" xfId="28" applyFont="1" applyBorder="1" applyProtection="1">
      <protection locked="0"/>
    </xf>
    <xf numFmtId="167" fontId="53" fillId="0" borderId="69" xfId="0" applyFont="1" applyBorder="1" applyProtection="1">
      <protection locked="0"/>
    </xf>
    <xf numFmtId="43" fontId="53" fillId="0" borderId="69" xfId="28" applyFont="1" applyBorder="1" applyProtection="1">
      <protection locked="0"/>
    </xf>
    <xf numFmtId="3" fontId="53" fillId="0" borderId="13" xfId="28" applyNumberFormat="1" applyFont="1" applyBorder="1" applyProtection="1">
      <protection locked="0"/>
    </xf>
    <xf numFmtId="43" fontId="53" fillId="0" borderId="0" xfId="28" applyFont="1" applyBorder="1" applyProtection="1">
      <protection locked="0"/>
    </xf>
    <xf numFmtId="43" fontId="53" fillId="0" borderId="14" xfId="28" applyFont="1" applyBorder="1" applyProtection="1">
      <protection locked="0"/>
    </xf>
    <xf numFmtId="3" fontId="57" fillId="0" borderId="55" xfId="28" applyNumberFormat="1" applyFont="1" applyBorder="1" applyProtection="1">
      <protection locked="0"/>
    </xf>
    <xf numFmtId="167" fontId="53" fillId="0" borderId="56" xfId="0" applyFont="1" applyBorder="1" applyProtection="1">
      <protection locked="0"/>
    </xf>
    <xf numFmtId="43" fontId="57" fillId="0" borderId="57" xfId="28" applyFont="1" applyBorder="1" applyProtection="1">
      <protection locked="0"/>
    </xf>
    <xf numFmtId="3" fontId="57" fillId="0" borderId="48" xfId="28" applyNumberFormat="1" applyFont="1" applyBorder="1" applyProtection="1">
      <protection locked="0"/>
    </xf>
    <xf numFmtId="43" fontId="55" fillId="0" borderId="0" xfId="28" applyFont="1" applyFill="1" applyBorder="1" applyProtection="1"/>
    <xf numFmtId="44" fontId="55" fillId="0" borderId="14" xfId="97" applyFont="1" applyFill="1" applyBorder="1" applyProtection="1"/>
    <xf numFmtId="9" fontId="55" fillId="0" borderId="14" xfId="43" applyFont="1" applyFill="1" applyBorder="1" applyAlignment="1" applyProtection="1">
      <alignment horizontal="right"/>
    </xf>
    <xf numFmtId="9" fontId="55" fillId="36" borderId="14" xfId="43" applyFont="1" applyFill="1" applyBorder="1" applyAlignment="1" applyProtection="1">
      <alignment horizontal="right"/>
    </xf>
    <xf numFmtId="3" fontId="57" fillId="0" borderId="0" xfId="28" applyNumberFormat="1" applyFont="1" applyBorder="1" applyProtection="1"/>
    <xf numFmtId="4" fontId="57" fillId="0" borderId="0" xfId="28" applyNumberFormat="1" applyFont="1" applyBorder="1" applyProtection="1"/>
    <xf numFmtId="3" fontId="53" fillId="0" borderId="38" xfId="28" applyNumberFormat="1" applyFont="1" applyBorder="1" applyProtection="1"/>
    <xf numFmtId="4" fontId="53" fillId="0" borderId="38" xfId="28" applyNumberFormat="1" applyFont="1" applyBorder="1" applyProtection="1"/>
    <xf numFmtId="10" fontId="58" fillId="0" borderId="61" xfId="43" applyNumberFormat="1" applyFont="1" applyBorder="1" applyAlignment="1" applyProtection="1">
      <alignment horizontal="left"/>
    </xf>
    <xf numFmtId="168" fontId="58" fillId="0" borderId="61" xfId="43" applyNumberFormat="1" applyFont="1" applyBorder="1" applyAlignment="1" applyProtection="1">
      <alignment horizontal="left"/>
    </xf>
    <xf numFmtId="3" fontId="53" fillId="26" borderId="38" xfId="28" applyNumberFormat="1" applyFont="1" applyFill="1" applyBorder="1" applyProtection="1"/>
    <xf numFmtId="10" fontId="59" fillId="0" borderId="14" xfId="43" applyNumberFormat="1" applyFont="1" applyBorder="1" applyAlignment="1" applyProtection="1">
      <alignment horizontal="left"/>
    </xf>
    <xf numFmtId="3" fontId="53" fillId="0" borderId="0" xfId="28" applyNumberFormat="1" applyFont="1" applyBorder="1" applyProtection="1"/>
    <xf numFmtId="3" fontId="53" fillId="0" borderId="38" xfId="28" applyNumberFormat="1" applyFont="1" applyFill="1" applyBorder="1" applyProtection="1"/>
    <xf numFmtId="9" fontId="58" fillId="0" borderId="61" xfId="43" applyFont="1" applyBorder="1" applyAlignment="1" applyProtection="1">
      <alignment horizontal="left"/>
    </xf>
    <xf numFmtId="9" fontId="59" fillId="0" borderId="14" xfId="43" applyFont="1" applyBorder="1" applyAlignment="1" applyProtection="1">
      <alignment horizontal="left"/>
    </xf>
    <xf numFmtId="4" fontId="53" fillId="0" borderId="0" xfId="28" applyNumberFormat="1" applyFont="1" applyBorder="1" applyProtection="1"/>
    <xf numFmtId="3" fontId="60" fillId="0" borderId="0" xfId="28" applyNumberFormat="1" applyFont="1" applyBorder="1" applyProtection="1"/>
    <xf numFmtId="4" fontId="60" fillId="0" borderId="0" xfId="28" applyNumberFormat="1" applyFont="1" applyBorder="1" applyProtection="1"/>
    <xf numFmtId="9" fontId="61" fillId="0" borderId="14" xfId="43" applyFont="1" applyBorder="1" applyAlignment="1" applyProtection="1">
      <alignment horizontal="left"/>
    </xf>
    <xf numFmtId="43" fontId="57" fillId="24" borderId="0" xfId="28" applyFont="1" applyFill="1" applyBorder="1" applyProtection="1"/>
    <xf numFmtId="4" fontId="57" fillId="24" borderId="0" xfId="28" applyNumberFormat="1" applyFont="1" applyFill="1" applyBorder="1" applyProtection="1"/>
    <xf numFmtId="9" fontId="58" fillId="0" borderId="14" xfId="43" applyFont="1" applyBorder="1" applyAlignment="1" applyProtection="1">
      <alignment horizontal="left"/>
    </xf>
    <xf numFmtId="43" fontId="58" fillId="0" borderId="14" xfId="28" applyFont="1" applyBorder="1" applyAlignment="1" applyProtection="1">
      <alignment horizontal="left"/>
    </xf>
    <xf numFmtId="3" fontId="57" fillId="30" borderId="38" xfId="49" applyNumberFormat="1" applyFont="1" applyFill="1" applyBorder="1" applyProtection="1"/>
    <xf numFmtId="4" fontId="57" fillId="30" borderId="38" xfId="49" applyNumberFormat="1" applyFont="1" applyFill="1" applyBorder="1" applyProtection="1"/>
    <xf numFmtId="9" fontId="62" fillId="30" borderId="61" xfId="56" applyFont="1" applyFill="1" applyBorder="1" applyAlignment="1" applyProtection="1">
      <alignment horizontal="left"/>
    </xf>
    <xf numFmtId="167" fontId="53" fillId="0" borderId="0" xfId="0" applyFont="1"/>
    <xf numFmtId="43" fontId="53" fillId="0" borderId="0" xfId="28" applyFont="1" applyBorder="1" applyProtection="1"/>
    <xf numFmtId="3" fontId="53" fillId="0" borderId="38" xfId="49" applyNumberFormat="1" applyFont="1" applyBorder="1" applyProtection="1"/>
    <xf numFmtId="3" fontId="57" fillId="34" borderId="51" xfId="49" applyNumberFormat="1" applyFont="1" applyFill="1" applyBorder="1" applyProtection="1"/>
    <xf numFmtId="4" fontId="57" fillId="34" borderId="51" xfId="49" applyNumberFormat="1" applyFont="1" applyFill="1" applyBorder="1" applyProtection="1"/>
    <xf numFmtId="3" fontId="53" fillId="0" borderId="67" xfId="28" applyNumberFormat="1" applyFont="1" applyBorder="1" applyProtection="1"/>
    <xf numFmtId="173" fontId="54" fillId="25" borderId="49" xfId="0" applyNumberFormat="1" applyFont="1" applyFill="1" applyBorder="1" applyAlignment="1" applyProtection="1">
      <alignment horizontal="left"/>
      <protection locked="0"/>
    </xf>
    <xf numFmtId="174" fontId="54" fillId="35" borderId="50" xfId="0" applyNumberFormat="1" applyFont="1" applyFill="1" applyBorder="1" applyAlignment="1" applyProtection="1">
      <alignment horizontal="left"/>
      <protection locked="0"/>
    </xf>
    <xf numFmtId="167" fontId="54" fillId="35" borderId="51" xfId="0" applyFont="1" applyFill="1" applyBorder="1" applyProtection="1">
      <protection locked="0"/>
    </xf>
    <xf numFmtId="0" fontId="54" fillId="36" borderId="53" xfId="43" applyNumberFormat="1" applyFont="1" applyFill="1" applyBorder="1" applyProtection="1">
      <protection locked="0"/>
    </xf>
    <xf numFmtId="43" fontId="53" fillId="0" borderId="0" xfId="28" applyFont="1"/>
    <xf numFmtId="0" fontId="54" fillId="35" borderId="14" xfId="43" applyNumberFormat="1" applyFont="1" applyFill="1" applyBorder="1" applyAlignment="1" applyProtection="1">
      <alignment horizontal="left"/>
      <protection locked="0"/>
    </xf>
    <xf numFmtId="166" fontId="53" fillId="0" borderId="0" xfId="28" applyNumberFormat="1" applyFont="1"/>
    <xf numFmtId="166" fontId="67" fillId="0" borderId="0" xfId="28" applyNumberFormat="1" applyFont="1"/>
    <xf numFmtId="167" fontId="54" fillId="35" borderId="0" xfId="0" applyFont="1" applyFill="1" applyProtection="1">
      <protection locked="0"/>
    </xf>
    <xf numFmtId="167" fontId="56" fillId="35" borderId="0" xfId="0" applyFont="1" applyFill="1" applyProtection="1">
      <protection locked="0"/>
    </xf>
    <xf numFmtId="167" fontId="54" fillId="26" borderId="0" xfId="0" applyFont="1" applyFill="1" applyProtection="1">
      <protection locked="0"/>
    </xf>
    <xf numFmtId="167" fontId="53" fillId="0" borderId="0" xfId="0" applyFont="1" applyProtection="1">
      <protection locked="0"/>
    </xf>
    <xf numFmtId="43" fontId="53" fillId="0" borderId="67" xfId="28" applyFont="1" applyBorder="1" applyProtection="1"/>
    <xf numFmtId="10" fontId="62" fillId="34" borderId="53" xfId="56" applyNumberFormat="1" applyFont="1" applyFill="1" applyBorder="1" applyAlignment="1" applyProtection="1">
      <alignment horizontal="left"/>
    </xf>
    <xf numFmtId="10" fontId="63" fillId="0" borderId="61" xfId="56" applyNumberFormat="1" applyFont="1" applyBorder="1" applyAlignment="1" applyProtection="1">
      <alignment horizontal="left"/>
    </xf>
    <xf numFmtId="44" fontId="55" fillId="0" borderId="0" xfId="96" applyFont="1" applyFill="1" applyBorder="1" applyProtection="1"/>
    <xf numFmtId="9" fontId="55" fillId="35" borderId="53" xfId="43" applyFont="1" applyFill="1" applyBorder="1" applyAlignment="1" applyProtection="1">
      <alignment horizontal="right"/>
    </xf>
    <xf numFmtId="167" fontId="67" fillId="0" borderId="0" xfId="0" applyFont="1"/>
    <xf numFmtId="167" fontId="74" fillId="0" borderId="0" xfId="0" applyFont="1"/>
    <xf numFmtId="167" fontId="74" fillId="0" borderId="0" xfId="0" applyFont="1" applyAlignment="1">
      <alignment horizontal="center" wrapText="1"/>
    </xf>
    <xf numFmtId="43" fontId="67" fillId="0" borderId="0" xfId="28" applyFont="1"/>
    <xf numFmtId="166" fontId="67" fillId="0" borderId="0" xfId="0" applyNumberFormat="1" applyFont="1"/>
    <xf numFmtId="9" fontId="67" fillId="0" borderId="0" xfId="0" applyNumberFormat="1" applyFont="1"/>
    <xf numFmtId="166" fontId="74" fillId="0" borderId="0" xfId="0" applyNumberFormat="1" applyFont="1"/>
    <xf numFmtId="43" fontId="74" fillId="0" borderId="0" xfId="28" applyFont="1"/>
    <xf numFmtId="168" fontId="74" fillId="0" borderId="0" xfId="43" applyNumberFormat="1" applyFont="1"/>
    <xf numFmtId="167" fontId="74" fillId="0" borderId="0" xfId="0" applyFont="1" applyAlignment="1">
      <alignment vertical="center"/>
    </xf>
    <xf numFmtId="166" fontId="0" fillId="0" borderId="0" xfId="28" applyNumberFormat="1" applyFont="1"/>
    <xf numFmtId="0" fontId="78" fillId="37" borderId="71" xfId="0" applyNumberFormat="1" applyFont="1" applyFill="1" applyBorder="1" applyAlignment="1">
      <alignment horizontal="left" vertical="center"/>
    </xf>
    <xf numFmtId="0" fontId="78" fillId="37" borderId="72" xfId="0" applyNumberFormat="1" applyFont="1" applyFill="1" applyBorder="1" applyAlignment="1">
      <alignment horizontal="left" vertical="center"/>
    </xf>
    <xf numFmtId="0" fontId="78" fillId="37" borderId="72" xfId="0" applyNumberFormat="1" applyFont="1" applyFill="1" applyBorder="1" applyAlignment="1">
      <alignment horizontal="left" vertical="center" wrapText="1"/>
    </xf>
    <xf numFmtId="0" fontId="78" fillId="37" borderId="73" xfId="0" applyNumberFormat="1" applyFont="1" applyFill="1" applyBorder="1" applyAlignment="1">
      <alignment horizontal="left" vertical="center" wrapText="1"/>
    </xf>
    <xf numFmtId="167" fontId="0" fillId="0" borderId="74" xfId="0" applyBorder="1"/>
    <xf numFmtId="167" fontId="0" fillId="0" borderId="75" xfId="0" applyBorder="1"/>
    <xf numFmtId="167" fontId="0" fillId="0" borderId="77" xfId="0" applyBorder="1"/>
    <xf numFmtId="167" fontId="0" fillId="0" borderId="78" xfId="0" applyBorder="1"/>
    <xf numFmtId="43" fontId="53" fillId="0" borderId="56" xfId="28" applyFont="1" applyBorder="1" applyProtection="1">
      <protection locked="0"/>
    </xf>
    <xf numFmtId="166" fontId="53" fillId="0" borderId="56" xfId="28" applyNumberFormat="1" applyFont="1" applyBorder="1" applyProtection="1">
      <protection locked="0"/>
    </xf>
    <xf numFmtId="43" fontId="0" fillId="0" borderId="75" xfId="28" applyFont="1" applyBorder="1"/>
    <xf numFmtId="166" fontId="0" fillId="0" borderId="75" xfId="28" applyNumberFormat="1" applyFont="1" applyBorder="1"/>
    <xf numFmtId="0" fontId="79" fillId="0" borderId="75" xfId="0" applyNumberFormat="1" applyFont="1" applyBorder="1"/>
    <xf numFmtId="10" fontId="0" fillId="0" borderId="75" xfId="43" applyNumberFormat="1" applyFont="1" applyBorder="1"/>
    <xf numFmtId="43" fontId="0" fillId="0" borderId="76" xfId="28" applyFont="1" applyBorder="1"/>
    <xf numFmtId="166" fontId="0" fillId="0" borderId="78" xfId="28" applyNumberFormat="1" applyFont="1" applyBorder="1"/>
    <xf numFmtId="0" fontId="79" fillId="0" borderId="78" xfId="0" applyNumberFormat="1" applyFont="1" applyBorder="1"/>
    <xf numFmtId="10" fontId="0" fillId="0" borderId="78" xfId="43" applyNumberFormat="1" applyFont="1" applyBorder="1"/>
    <xf numFmtId="43" fontId="0" fillId="0" borderId="78" xfId="28" applyFont="1" applyBorder="1"/>
    <xf numFmtId="43" fontId="0" fillId="0" borderId="79" xfId="28" applyFont="1" applyBorder="1"/>
    <xf numFmtId="167" fontId="0" fillId="38" borderId="0" xfId="0" applyFill="1"/>
    <xf numFmtId="166" fontId="53" fillId="0" borderId="0" xfId="28" applyNumberFormat="1" applyFont="1" applyProtection="1">
      <protection locked="0"/>
    </xf>
    <xf numFmtId="168" fontId="53" fillId="0" borderId="0" xfId="43" applyNumberFormat="1" applyFont="1" applyProtection="1">
      <protection locked="0"/>
    </xf>
    <xf numFmtId="9" fontId="53" fillId="0" borderId="0" xfId="43" applyFont="1" applyProtection="1">
      <protection locked="0"/>
    </xf>
    <xf numFmtId="43" fontId="53" fillId="0" borderId="0" xfId="28" applyFont="1" applyProtection="1">
      <protection locked="0"/>
    </xf>
    <xf numFmtId="167" fontId="53" fillId="0" borderId="63" xfId="0" applyFont="1" applyBorder="1" applyProtection="1">
      <protection locked="0"/>
    </xf>
    <xf numFmtId="167" fontId="53" fillId="0" borderId="64" xfId="0" applyFont="1" applyBorder="1" applyProtection="1">
      <protection locked="0"/>
    </xf>
    <xf numFmtId="43" fontId="53" fillId="0" borderId="64" xfId="28" applyFont="1" applyBorder="1" applyProtection="1">
      <protection locked="0"/>
    </xf>
    <xf numFmtId="167" fontId="53" fillId="0" borderId="65" xfId="0" applyFont="1" applyBorder="1" applyProtection="1">
      <protection locked="0"/>
    </xf>
    <xf numFmtId="167" fontId="53" fillId="0" borderId="25" xfId="0" applyFont="1" applyBorder="1" applyProtection="1">
      <protection locked="0"/>
    </xf>
    <xf numFmtId="167" fontId="53" fillId="0" borderId="66" xfId="0" applyFont="1" applyBorder="1" applyProtection="1">
      <protection locked="0"/>
    </xf>
    <xf numFmtId="174" fontId="54" fillId="0" borderId="49" xfId="0" applyNumberFormat="1" applyFont="1" applyBorder="1" applyProtection="1">
      <protection locked="0"/>
    </xf>
    <xf numFmtId="167" fontId="54" fillId="35" borderId="13" xfId="0" applyFont="1" applyFill="1" applyBorder="1" applyProtection="1">
      <protection locked="0"/>
    </xf>
    <xf numFmtId="167" fontId="55" fillId="35" borderId="0" xfId="0" applyFont="1" applyFill="1" applyProtection="1">
      <protection locked="0"/>
    </xf>
    <xf numFmtId="9" fontId="54" fillId="35" borderId="0" xfId="43" applyFont="1" applyFill="1" applyBorder="1" applyAlignment="1" applyProtection="1">
      <alignment horizontal="center"/>
      <protection locked="0"/>
    </xf>
    <xf numFmtId="167" fontId="54" fillId="35" borderId="52" xfId="0" applyFont="1" applyFill="1" applyBorder="1" applyProtection="1">
      <protection locked="0"/>
    </xf>
    <xf numFmtId="167" fontId="55" fillId="35" borderId="13" xfId="0" applyFont="1" applyFill="1" applyBorder="1" applyProtection="1">
      <protection locked="0"/>
    </xf>
    <xf numFmtId="167" fontId="55" fillId="35" borderId="14" xfId="0" applyFont="1" applyFill="1" applyBorder="1" applyProtection="1">
      <protection locked="0"/>
    </xf>
    <xf numFmtId="167" fontId="55" fillId="35" borderId="52" xfId="0" applyFont="1" applyFill="1" applyBorder="1" applyProtection="1">
      <protection locked="0"/>
    </xf>
    <xf numFmtId="167" fontId="55" fillId="35" borderId="51" xfId="0" applyFont="1" applyFill="1" applyBorder="1" applyProtection="1">
      <protection locked="0"/>
    </xf>
    <xf numFmtId="167" fontId="55" fillId="35" borderId="53" xfId="0" applyFont="1" applyFill="1" applyBorder="1" applyProtection="1">
      <protection locked="0"/>
    </xf>
    <xf numFmtId="167" fontId="54" fillId="35" borderId="49" xfId="0" applyFont="1" applyFill="1" applyBorder="1" applyProtection="1">
      <protection locked="0"/>
    </xf>
    <xf numFmtId="10" fontId="55" fillId="35" borderId="50" xfId="43" applyNumberFormat="1" applyFont="1" applyFill="1" applyBorder="1" applyProtection="1">
      <protection locked="0"/>
    </xf>
    <xf numFmtId="10" fontId="55" fillId="35" borderId="14" xfId="43" applyNumberFormat="1" applyFont="1" applyFill="1" applyBorder="1" applyProtection="1">
      <protection locked="0"/>
    </xf>
    <xf numFmtId="166" fontId="54" fillId="35" borderId="0" xfId="28" applyNumberFormat="1" applyFont="1" applyFill="1" applyBorder="1" applyProtection="1">
      <protection locked="0"/>
    </xf>
    <xf numFmtId="10" fontId="53" fillId="0" borderId="0" xfId="43" applyNumberFormat="1" applyFont="1" applyProtection="1">
      <protection locked="0"/>
    </xf>
    <xf numFmtId="9" fontId="54" fillId="0" borderId="0" xfId="0" applyNumberFormat="1" applyFont="1" applyProtection="1">
      <protection locked="0"/>
    </xf>
    <xf numFmtId="0" fontId="54" fillId="36" borderId="0" xfId="43" applyNumberFormat="1" applyFont="1" applyFill="1" applyBorder="1" applyProtection="1">
      <protection locked="0"/>
    </xf>
    <xf numFmtId="0" fontId="54" fillId="36" borderId="0" xfId="43" applyNumberFormat="1" applyFont="1" applyFill="1" applyBorder="1" applyAlignment="1" applyProtection="1">
      <alignment horizontal="left"/>
      <protection locked="0"/>
    </xf>
    <xf numFmtId="166" fontId="55" fillId="35" borderId="14" xfId="28" applyNumberFormat="1" applyFont="1" applyFill="1" applyBorder="1" applyAlignment="1" applyProtection="1">
      <alignment horizontal="left"/>
      <protection locked="0"/>
    </xf>
    <xf numFmtId="9" fontId="55" fillId="24" borderId="14" xfId="43" applyFont="1" applyFill="1" applyBorder="1" applyProtection="1">
      <protection locked="0"/>
    </xf>
    <xf numFmtId="173" fontId="54" fillId="25" borderId="0" xfId="0" applyNumberFormat="1" applyFont="1" applyFill="1" applyAlignment="1" applyProtection="1">
      <alignment horizontal="left"/>
      <protection locked="0"/>
    </xf>
    <xf numFmtId="175" fontId="54" fillId="0" borderId="0" xfId="0" applyNumberFormat="1" applyFont="1" applyProtection="1">
      <protection locked="0"/>
    </xf>
    <xf numFmtId="167" fontId="53" fillId="0" borderId="13" xfId="0" applyFont="1" applyBorder="1" applyProtection="1">
      <protection locked="0"/>
    </xf>
    <xf numFmtId="167" fontId="53" fillId="0" borderId="14" xfId="0" applyFont="1" applyBorder="1" applyProtection="1">
      <protection locked="0"/>
    </xf>
    <xf numFmtId="9" fontId="55" fillId="24" borderId="53" xfId="43" applyFont="1" applyFill="1" applyBorder="1" applyProtection="1">
      <protection locked="0"/>
    </xf>
    <xf numFmtId="167" fontId="57" fillId="0" borderId="0" xfId="0" applyFont="1" applyProtection="1">
      <protection locked="0"/>
    </xf>
    <xf numFmtId="10" fontId="58" fillId="0" borderId="0" xfId="43" applyNumberFormat="1" applyFont="1" applyBorder="1" applyAlignment="1" applyProtection="1">
      <alignment horizontal="left"/>
      <protection locked="0"/>
    </xf>
    <xf numFmtId="168" fontId="58" fillId="0" borderId="0" xfId="43" applyNumberFormat="1" applyFont="1" applyBorder="1" applyAlignment="1" applyProtection="1">
      <alignment horizontal="left"/>
      <protection locked="0"/>
    </xf>
    <xf numFmtId="10" fontId="59" fillId="0" borderId="0" xfId="43" applyNumberFormat="1" applyFont="1" applyBorder="1" applyAlignment="1" applyProtection="1">
      <alignment horizontal="left"/>
      <protection locked="0"/>
    </xf>
    <xf numFmtId="9" fontId="58" fillId="0" borderId="0" xfId="43" applyFont="1" applyBorder="1" applyAlignment="1" applyProtection="1">
      <alignment horizontal="left"/>
      <protection locked="0"/>
    </xf>
    <xf numFmtId="9" fontId="61" fillId="0" borderId="0" xfId="43" applyFont="1" applyBorder="1" applyAlignment="1" applyProtection="1">
      <alignment horizontal="left"/>
      <protection locked="0"/>
    </xf>
    <xf numFmtId="167" fontId="53" fillId="0" borderId="66" xfId="50" applyFont="1" applyBorder="1" applyProtection="1">
      <protection locked="0"/>
    </xf>
    <xf numFmtId="167" fontId="53" fillId="0" borderId="0" xfId="50" applyFont="1" applyProtection="1">
      <protection locked="0"/>
    </xf>
    <xf numFmtId="167" fontId="53" fillId="0" borderId="25" xfId="50" applyFont="1" applyBorder="1" applyProtection="1">
      <protection locked="0"/>
    </xf>
    <xf numFmtId="167" fontId="53" fillId="0" borderId="67" xfId="0" applyFont="1" applyBorder="1" applyProtection="1">
      <protection locked="0"/>
    </xf>
    <xf numFmtId="167" fontId="53" fillId="0" borderId="39" xfId="0" applyFont="1" applyBorder="1" applyProtection="1">
      <protection locked="0"/>
    </xf>
    <xf numFmtId="9" fontId="58" fillId="0" borderId="67" xfId="43" applyFont="1" applyBorder="1" applyAlignment="1" applyProtection="1">
      <alignment horizontal="left"/>
      <protection locked="0"/>
    </xf>
    <xf numFmtId="3" fontId="57" fillId="0" borderId="67" xfId="28" applyNumberFormat="1" applyFont="1" applyBorder="1" applyProtection="1">
      <protection locked="0"/>
    </xf>
    <xf numFmtId="167" fontId="53" fillId="0" borderId="68" xfId="0" applyFont="1" applyBorder="1" applyProtection="1">
      <protection locked="0"/>
    </xf>
    <xf numFmtId="3" fontId="57" fillId="0" borderId="0" xfId="28" applyNumberFormat="1" applyFont="1" applyProtection="1">
      <protection locked="0"/>
    </xf>
    <xf numFmtId="3" fontId="53" fillId="0" borderId="0" xfId="0" applyNumberFormat="1" applyFont="1" applyProtection="1">
      <protection locked="0"/>
    </xf>
    <xf numFmtId="3" fontId="53" fillId="0" borderId="0" xfId="28" applyNumberFormat="1" applyFont="1" applyProtection="1">
      <protection locked="0"/>
    </xf>
    <xf numFmtId="43" fontId="67" fillId="0" borderId="0" xfId="28" applyFont="1" applyFill="1" applyAlignment="1" applyProtection="1">
      <alignment horizontal="center" vertical="center" wrapText="1"/>
    </xf>
    <xf numFmtId="43" fontId="67" fillId="0" borderId="0" xfId="28" applyFont="1" applyFill="1" applyBorder="1" applyProtection="1"/>
    <xf numFmtId="43" fontId="71" fillId="0" borderId="0" xfId="28" applyFont="1" applyFill="1" applyBorder="1" applyProtection="1"/>
    <xf numFmtId="167" fontId="53" fillId="0" borderId="60" xfId="0" applyFont="1" applyBorder="1" applyAlignment="1">
      <alignment horizontal="left" indent="1"/>
    </xf>
    <xf numFmtId="10" fontId="40" fillId="0" borderId="24" xfId="43" applyNumberFormat="1" applyFont="1" applyBorder="1" applyProtection="1"/>
    <xf numFmtId="43" fontId="41" fillId="0" borderId="30" xfId="28" applyFont="1" applyBorder="1" applyAlignment="1" applyProtection="1">
      <alignment horizontal="right"/>
    </xf>
    <xf numFmtId="43" fontId="41" fillId="0" borderId="31" xfId="28" applyFont="1" applyBorder="1" applyAlignment="1" applyProtection="1">
      <alignment horizontal="right"/>
    </xf>
    <xf numFmtId="168" fontId="40" fillId="0" borderId="30" xfId="43" applyNumberFormat="1" applyFont="1" applyBorder="1" applyProtection="1"/>
    <xf numFmtId="168" fontId="40" fillId="0" borderId="31" xfId="43" applyNumberFormat="1" applyFont="1" applyBorder="1" applyProtection="1"/>
    <xf numFmtId="9" fontId="40" fillId="0" borderId="40" xfId="43" applyFont="1" applyBorder="1" applyProtection="1"/>
    <xf numFmtId="43" fontId="40" fillId="0" borderId="30" xfId="28" applyFont="1" applyBorder="1" applyProtection="1"/>
    <xf numFmtId="43" fontId="44" fillId="0" borderId="0" xfId="28" applyFont="1" applyProtection="1"/>
    <xf numFmtId="166" fontId="44" fillId="0" borderId="0" xfId="28" applyNumberFormat="1" applyFont="1" applyProtection="1"/>
    <xf numFmtId="9" fontId="40" fillId="0" borderId="30" xfId="43" applyFont="1" applyBorder="1" applyProtection="1"/>
    <xf numFmtId="9" fontId="40" fillId="0" borderId="31" xfId="43" applyFont="1" applyBorder="1" applyProtection="1"/>
    <xf numFmtId="43" fontId="40" fillId="0" borderId="33" xfId="28" applyFont="1" applyBorder="1" applyProtection="1"/>
    <xf numFmtId="43" fontId="40" fillId="0" borderId="0" xfId="28" applyFont="1" applyProtection="1"/>
    <xf numFmtId="168" fontId="41" fillId="33" borderId="23" xfId="43" applyNumberFormat="1" applyFont="1" applyFill="1" applyBorder="1" applyProtection="1"/>
    <xf numFmtId="176" fontId="44" fillId="0" borderId="0" xfId="28" applyNumberFormat="1" applyFont="1" applyProtection="1"/>
    <xf numFmtId="167" fontId="54" fillId="35" borderId="0" xfId="0" applyFont="1" applyFill="1"/>
    <xf numFmtId="166" fontId="55" fillId="26" borderId="14" xfId="28" applyNumberFormat="1" applyFont="1" applyFill="1" applyBorder="1" applyAlignment="1" applyProtection="1">
      <alignment horizontal="right"/>
    </xf>
    <xf numFmtId="167" fontId="55" fillId="35" borderId="0" xfId="0" applyFont="1" applyFill="1"/>
    <xf numFmtId="167" fontId="57" fillId="0" borderId="48" xfId="0" applyFont="1" applyBorder="1"/>
    <xf numFmtId="167" fontId="57" fillId="0" borderId="49" xfId="0" applyFont="1" applyBorder="1" applyAlignment="1">
      <alignment horizontal="center"/>
    </xf>
    <xf numFmtId="167" fontId="57" fillId="0" borderId="50" xfId="0" applyFont="1" applyBorder="1"/>
    <xf numFmtId="167" fontId="57" fillId="0" borderId="13" xfId="0" applyFont="1" applyBorder="1"/>
    <xf numFmtId="167" fontId="57" fillId="0" borderId="14" xfId="0" applyFont="1" applyBorder="1"/>
    <xf numFmtId="4" fontId="53" fillId="0" borderId="38" xfId="0" applyNumberFormat="1" applyFont="1" applyBorder="1"/>
    <xf numFmtId="167" fontId="57" fillId="0" borderId="13" xfId="0" applyFont="1" applyBorder="1" applyAlignment="1">
      <alignment horizontal="left" indent="1"/>
    </xf>
    <xf numFmtId="167" fontId="53" fillId="0" borderId="13" xfId="0" applyFont="1" applyBorder="1"/>
    <xf numFmtId="167" fontId="53" fillId="0" borderId="14" xfId="0" applyFont="1" applyBorder="1"/>
    <xf numFmtId="167" fontId="53" fillId="0" borderId="0" xfId="0" applyFont="1" applyAlignment="1">
      <alignment horizontal="center"/>
    </xf>
    <xf numFmtId="167" fontId="60" fillId="0" borderId="13" xfId="0" applyFont="1" applyBorder="1"/>
    <xf numFmtId="167" fontId="57" fillId="24" borderId="13" xfId="0" applyFont="1" applyFill="1" applyBorder="1"/>
    <xf numFmtId="4" fontId="53" fillId="0" borderId="0" xfId="0" applyNumberFormat="1" applyFont="1"/>
    <xf numFmtId="4" fontId="57" fillId="0" borderId="0" xfId="0" applyNumberFormat="1" applyFont="1"/>
    <xf numFmtId="167" fontId="57" fillId="30" borderId="60" xfId="50" applyFont="1" applyFill="1" applyBorder="1"/>
    <xf numFmtId="167" fontId="53" fillId="0" borderId="60" xfId="50" applyFont="1" applyBorder="1" applyAlignment="1">
      <alignment horizontal="left"/>
    </xf>
    <xf numFmtId="4" fontId="53" fillId="0" borderId="38" xfId="50" applyNumberFormat="1" applyFont="1" applyBorder="1"/>
    <xf numFmtId="167" fontId="57" fillId="34" borderId="52" xfId="50" applyFont="1" applyFill="1" applyBorder="1"/>
    <xf numFmtId="167" fontId="53" fillId="0" borderId="67" xfId="0" applyFont="1" applyBorder="1"/>
    <xf numFmtId="3" fontId="53" fillId="0" borderId="67" xfId="0" applyNumberFormat="1" applyFont="1" applyBorder="1"/>
    <xf numFmtId="166" fontId="53" fillId="0" borderId="11" xfId="28" applyNumberFormat="1" applyFont="1" applyBorder="1" applyProtection="1"/>
    <xf numFmtId="43" fontId="53" fillId="0" borderId="59" xfId="28" applyFont="1" applyBorder="1" applyProtection="1"/>
    <xf numFmtId="166" fontId="53" fillId="0" borderId="38" xfId="28" applyNumberFormat="1" applyFont="1" applyBorder="1" applyProtection="1"/>
    <xf numFmtId="43" fontId="53" fillId="0" borderId="61" xfId="28" applyFont="1" applyBorder="1" applyProtection="1"/>
    <xf numFmtId="166" fontId="53" fillId="0" borderId="0" xfId="28" applyNumberFormat="1" applyFont="1" applyBorder="1" applyProtection="1"/>
    <xf numFmtId="43" fontId="53" fillId="0" borderId="14" xfId="28" applyFont="1" applyBorder="1" applyProtection="1"/>
    <xf numFmtId="166" fontId="53" fillId="0" borderId="56" xfId="28" applyNumberFormat="1" applyFont="1" applyBorder="1" applyProtection="1"/>
    <xf numFmtId="43" fontId="57" fillId="0" borderId="57" xfId="28" applyFont="1" applyBorder="1" applyProtection="1"/>
    <xf numFmtId="167" fontId="57" fillId="0" borderId="49" xfId="0" applyFont="1" applyBorder="1"/>
    <xf numFmtId="43" fontId="53" fillId="0" borderId="38" xfId="28" applyFont="1" applyBorder="1" applyProtection="1"/>
    <xf numFmtId="43" fontId="53" fillId="0" borderId="69" xfId="28" applyFont="1" applyBorder="1" applyProtection="1"/>
    <xf numFmtId="43" fontId="53" fillId="0" borderId="70" xfId="28" applyFont="1" applyBorder="1" applyProtection="1"/>
    <xf numFmtId="43" fontId="53" fillId="0" borderId="11" xfId="28" applyFont="1" applyBorder="1" applyProtection="1"/>
    <xf numFmtId="167" fontId="53" fillId="0" borderId="56" xfId="0" applyFont="1" applyBorder="1"/>
    <xf numFmtId="166" fontId="57" fillId="0" borderId="57" xfId="28" applyNumberFormat="1" applyFont="1" applyBorder="1" applyProtection="1"/>
    <xf numFmtId="167" fontId="54" fillId="35" borderId="13" xfId="0" applyFont="1" applyFill="1" applyBorder="1"/>
    <xf numFmtId="167" fontId="54" fillId="0" borderId="13" xfId="0" applyFont="1" applyBorder="1"/>
    <xf numFmtId="167" fontId="54" fillId="35" borderId="52" xfId="0" applyFont="1" applyFill="1" applyBorder="1" applyAlignment="1">
      <alignment horizontal="left"/>
    </xf>
    <xf numFmtId="167" fontId="54" fillId="35" borderId="52" xfId="0" applyFont="1" applyFill="1" applyBorder="1"/>
    <xf numFmtId="167" fontId="54" fillId="35" borderId="48" xfId="0" applyFont="1" applyFill="1" applyBorder="1"/>
    <xf numFmtId="167" fontId="54" fillId="0" borderId="48" xfId="0" applyFont="1" applyBorder="1"/>
    <xf numFmtId="175" fontId="54" fillId="35" borderId="49" xfId="0" applyNumberFormat="1" applyFont="1" applyFill="1" applyBorder="1"/>
    <xf numFmtId="167" fontId="54" fillId="0" borderId="0" xfId="0" applyFont="1"/>
    <xf numFmtId="167" fontId="56" fillId="35" borderId="13" xfId="0" applyFont="1" applyFill="1" applyBorder="1"/>
    <xf numFmtId="167" fontId="53" fillId="0" borderId="11" xfId="0" applyFont="1" applyBorder="1"/>
    <xf numFmtId="167" fontId="53" fillId="0" borderId="38" xfId="0" applyFont="1" applyBorder="1"/>
    <xf numFmtId="167" fontId="53" fillId="0" borderId="69" xfId="0" applyFont="1" applyBorder="1"/>
    <xf numFmtId="3" fontId="57" fillId="0" borderId="58" xfId="28" applyNumberFormat="1" applyFont="1" applyBorder="1" applyProtection="1"/>
    <xf numFmtId="178" fontId="54" fillId="36" borderId="14" xfId="43" applyNumberFormat="1" applyFont="1" applyFill="1" applyBorder="1" applyAlignment="1" applyProtection="1">
      <alignment horizontal="left"/>
      <protection hidden="1"/>
    </xf>
    <xf numFmtId="167" fontId="44" fillId="0" borderId="0" xfId="0" applyFont="1"/>
    <xf numFmtId="167" fontId="40" fillId="0" borderId="0" xfId="0" applyFont="1"/>
    <xf numFmtId="167" fontId="43" fillId="0" borderId="26" xfId="0" applyFont="1" applyBorder="1"/>
    <xf numFmtId="167" fontId="43" fillId="24" borderId="27" xfId="0" applyFont="1" applyFill="1" applyBorder="1" applyAlignment="1">
      <alignment horizontal="center"/>
    </xf>
    <xf numFmtId="167" fontId="43" fillId="24" borderId="28" xfId="0" applyFont="1" applyFill="1" applyBorder="1" applyAlignment="1">
      <alignment horizontal="center"/>
    </xf>
    <xf numFmtId="167" fontId="43" fillId="24" borderId="0" xfId="0" applyFont="1" applyFill="1" applyAlignment="1">
      <alignment horizontal="center"/>
    </xf>
    <xf numFmtId="167" fontId="49" fillId="0" borderId="0" xfId="0" applyFont="1"/>
    <xf numFmtId="4" fontId="41" fillId="0" borderId="30" xfId="0" applyNumberFormat="1" applyFont="1" applyBorder="1" applyAlignment="1">
      <alignment horizontal="center"/>
    </xf>
    <xf numFmtId="4" fontId="41" fillId="0" borderId="31" xfId="0" applyNumberFormat="1" applyFont="1" applyBorder="1" applyAlignment="1">
      <alignment horizontal="center"/>
    </xf>
    <xf numFmtId="3" fontId="40" fillId="0" borderId="0" xfId="0" applyNumberFormat="1" applyFont="1" applyAlignment="1">
      <alignment horizontal="right"/>
    </xf>
    <xf numFmtId="167" fontId="43" fillId="28" borderId="29" xfId="0" applyFont="1" applyFill="1" applyBorder="1"/>
    <xf numFmtId="167" fontId="41" fillId="33" borderId="22" xfId="0" applyFont="1" applyFill="1" applyBorder="1"/>
    <xf numFmtId="171" fontId="46" fillId="33" borderId="46" xfId="87" applyNumberFormat="1" applyFont="1" applyFill="1" applyBorder="1" applyAlignment="1">
      <alignment horizontal="center"/>
    </xf>
    <xf numFmtId="167" fontId="40" fillId="0" borderId="36" xfId="0" applyFont="1" applyBorder="1"/>
    <xf numFmtId="167" fontId="43" fillId="0" borderId="29" xfId="0" applyFont="1" applyBorder="1"/>
    <xf numFmtId="4" fontId="43" fillId="0" borderId="30" xfId="0" applyNumberFormat="1" applyFont="1" applyBorder="1" applyAlignment="1">
      <alignment horizontal="center"/>
    </xf>
    <xf numFmtId="4" fontId="43" fillId="0" borderId="31" xfId="0" applyNumberFormat="1" applyFont="1" applyBorder="1" applyAlignment="1">
      <alignment horizontal="center"/>
    </xf>
    <xf numFmtId="3" fontId="43" fillId="0" borderId="0" xfId="0" applyNumberFormat="1" applyFont="1" applyAlignment="1">
      <alignment horizontal="right"/>
    </xf>
    <xf numFmtId="167" fontId="40" fillId="0" borderId="37" xfId="0" applyFont="1" applyBorder="1"/>
    <xf numFmtId="3" fontId="40" fillId="0" borderId="30" xfId="0" applyNumberFormat="1" applyFont="1" applyBorder="1" applyAlignment="1">
      <alignment horizontal="right"/>
    </xf>
    <xf numFmtId="3" fontId="40" fillId="0" borderId="31" xfId="0" applyNumberFormat="1" applyFont="1" applyBorder="1" applyAlignment="1">
      <alignment horizontal="right"/>
    </xf>
    <xf numFmtId="167" fontId="43" fillId="28" borderId="32" xfId="0" applyFont="1" applyFill="1" applyBorder="1"/>
    <xf numFmtId="3" fontId="40" fillId="0" borderId="33" xfId="0" applyNumberFormat="1" applyFont="1" applyBorder="1" applyAlignment="1">
      <alignment horizontal="right"/>
    </xf>
    <xf numFmtId="3" fontId="40" fillId="0" borderId="34" xfId="0" applyNumberFormat="1" applyFont="1" applyBorder="1" applyAlignment="1">
      <alignment horizontal="right"/>
    </xf>
    <xf numFmtId="168" fontId="40" fillId="0" borderId="33" xfId="0" applyNumberFormat="1" applyFont="1" applyBorder="1"/>
    <xf numFmtId="168" fontId="40" fillId="0" borderId="34" xfId="0" applyNumberFormat="1" applyFont="1" applyBorder="1"/>
    <xf numFmtId="167" fontId="40" fillId="0" borderId="42" xfId="0" applyFont="1" applyBorder="1"/>
    <xf numFmtId="167" fontId="43" fillId="28" borderId="26" xfId="0" applyFont="1" applyFill="1" applyBorder="1"/>
    <xf numFmtId="172" fontId="41" fillId="0" borderId="30" xfId="0" applyNumberFormat="1" applyFont="1" applyBorder="1" applyAlignment="1">
      <alignment horizontal="center"/>
    </xf>
    <xf numFmtId="172" fontId="41" fillId="0" borderId="31" xfId="0" applyNumberFormat="1" applyFont="1" applyBorder="1" applyAlignment="1">
      <alignment horizontal="center"/>
    </xf>
    <xf numFmtId="167" fontId="40" fillId="0" borderId="33" xfId="0" applyFont="1" applyBorder="1" applyAlignment="1">
      <alignment horizontal="center"/>
    </xf>
    <xf numFmtId="167" fontId="40" fillId="0" borderId="34" xfId="0" applyFont="1" applyBorder="1" applyAlignment="1">
      <alignment horizontal="center"/>
    </xf>
    <xf numFmtId="167" fontId="40" fillId="0" borderId="0" xfId="0" applyFont="1" applyAlignment="1">
      <alignment horizontal="center"/>
    </xf>
    <xf numFmtId="167" fontId="41" fillId="0" borderId="35" xfId="0" applyFont="1" applyBorder="1"/>
    <xf numFmtId="167" fontId="41" fillId="0" borderId="23" xfId="0" applyFont="1" applyBorder="1"/>
    <xf numFmtId="167" fontId="41" fillId="0" borderId="23" xfId="0" applyFont="1" applyBorder="1" applyAlignment="1">
      <alignment horizontal="center"/>
    </xf>
    <xf numFmtId="167" fontId="41" fillId="0" borderId="24" xfId="0" applyFont="1" applyBorder="1"/>
    <xf numFmtId="167" fontId="41" fillId="0" borderId="25" xfId="0" applyFont="1" applyBorder="1"/>
    <xf numFmtId="167" fontId="40" fillId="0" borderId="40" xfId="0" applyFont="1" applyBorder="1"/>
    <xf numFmtId="167" fontId="40" fillId="0" borderId="41" xfId="0" applyFont="1" applyBorder="1"/>
    <xf numFmtId="167" fontId="41" fillId="0" borderId="30" xfId="0" applyFont="1" applyBorder="1"/>
    <xf numFmtId="167" fontId="40" fillId="0" borderId="31" xfId="0" applyFont="1" applyBorder="1"/>
    <xf numFmtId="167" fontId="43" fillId="24" borderId="30" xfId="0" applyFont="1" applyFill="1" applyBorder="1" applyAlignment="1">
      <alignment horizontal="center"/>
    </xf>
    <xf numFmtId="167" fontId="41" fillId="0" borderId="31" xfId="0" applyFont="1" applyBorder="1" applyAlignment="1">
      <alignment horizontal="center"/>
    </xf>
    <xf numFmtId="167" fontId="40" fillId="0" borderId="30" xfId="0" applyFont="1" applyBorder="1"/>
    <xf numFmtId="4" fontId="41" fillId="0" borderId="30" xfId="0" applyNumberFormat="1" applyFont="1" applyBorder="1" applyAlignment="1">
      <alignment horizontal="right"/>
    </xf>
    <xf numFmtId="4" fontId="41" fillId="0" borderId="31" xfId="0" applyNumberFormat="1" applyFont="1" applyBorder="1" applyAlignment="1">
      <alignment horizontal="right"/>
    </xf>
    <xf numFmtId="167" fontId="41" fillId="0" borderId="39" xfId="0" applyFont="1" applyBorder="1"/>
    <xf numFmtId="167" fontId="40" fillId="0" borderId="33" xfId="0" applyFont="1" applyBorder="1"/>
    <xf numFmtId="167" fontId="40" fillId="0" borderId="34" xfId="0" applyFont="1" applyBorder="1"/>
    <xf numFmtId="171" fontId="47" fillId="33" borderId="46" xfId="87" applyNumberFormat="1" applyFont="1" applyFill="1" applyBorder="1" applyAlignment="1">
      <alignment horizontal="center"/>
    </xf>
    <xf numFmtId="167" fontId="49" fillId="29" borderId="0" xfId="0" applyFont="1" applyFill="1"/>
    <xf numFmtId="171" fontId="47" fillId="29" borderId="46" xfId="87" applyNumberFormat="1" applyFont="1" applyFill="1" applyBorder="1" applyAlignment="1">
      <alignment horizontal="center"/>
    </xf>
    <xf numFmtId="177" fontId="53" fillId="0" borderId="0" xfId="28" applyNumberFormat="1" applyFont="1"/>
    <xf numFmtId="44" fontId="53" fillId="0" borderId="0" xfId="97" applyFont="1"/>
    <xf numFmtId="166" fontId="81" fillId="0" borderId="0" xfId="28" applyNumberFormat="1" applyFont="1" applyFill="1" applyAlignment="1" applyProtection="1">
      <alignment vertical="center"/>
    </xf>
    <xf numFmtId="166" fontId="67" fillId="0" borderId="21" xfId="28" quotePrefix="1" applyNumberFormat="1" applyFont="1" applyFill="1" applyBorder="1" applyAlignment="1">
      <alignment horizontal="left" indent="1"/>
    </xf>
    <xf numFmtId="166" fontId="76" fillId="0" borderId="21" xfId="28" quotePrefix="1" applyNumberFormat="1" applyFont="1" applyFill="1" applyBorder="1" applyAlignment="1">
      <alignment horizontal="left" indent="1"/>
    </xf>
    <xf numFmtId="166" fontId="83" fillId="0" borderId="0" xfId="28" applyNumberFormat="1" applyFont="1" applyFill="1" applyAlignment="1" applyProtection="1">
      <alignment vertical="center"/>
    </xf>
    <xf numFmtId="166" fontId="83" fillId="0" borderId="0" xfId="28" applyNumberFormat="1" applyFont="1" applyFill="1" applyBorder="1" applyProtection="1"/>
    <xf numFmtId="43" fontId="84" fillId="0" borderId="21" xfId="28" applyFont="1" applyFill="1" applyBorder="1"/>
    <xf numFmtId="166" fontId="84" fillId="0" borderId="81" xfId="28" applyNumberFormat="1" applyFont="1" applyFill="1" applyBorder="1"/>
    <xf numFmtId="43" fontId="84" fillId="0" borderId="81" xfId="28" applyFont="1" applyFill="1" applyBorder="1"/>
    <xf numFmtId="166" fontId="67" fillId="0" borderId="0" xfId="28" quotePrefix="1" applyNumberFormat="1" applyFont="1" applyFill="1" applyAlignment="1">
      <alignment horizontal="left" indent="1"/>
    </xf>
    <xf numFmtId="166" fontId="67" fillId="0" borderId="0" xfId="28" applyNumberFormat="1" applyFont="1" applyFill="1" applyAlignment="1" applyProtection="1">
      <alignment horizontal="center" vertical="center" wrapText="1"/>
    </xf>
    <xf numFmtId="9" fontId="75" fillId="0" borderId="10" xfId="43" applyFont="1" applyFill="1" applyBorder="1" applyAlignment="1" applyProtection="1">
      <alignment horizontal="right"/>
    </xf>
    <xf numFmtId="166" fontId="67" fillId="0" borderId="0" xfId="28" applyNumberFormat="1" applyFont="1" applyFill="1"/>
    <xf numFmtId="166" fontId="76" fillId="0" borderId="0" xfId="28" applyNumberFormat="1" applyFont="1" applyFill="1"/>
    <xf numFmtId="166" fontId="74" fillId="0" borderId="0" xfId="28" applyNumberFormat="1" applyFont="1" applyFill="1" applyAlignment="1" applyProtection="1">
      <alignment vertical="center"/>
    </xf>
    <xf numFmtId="166" fontId="74" fillId="0" borderId="46" xfId="28" applyNumberFormat="1" applyFont="1" applyFill="1" applyBorder="1" applyAlignment="1" applyProtection="1">
      <alignment vertical="center"/>
    </xf>
    <xf numFmtId="166" fontId="53" fillId="0" borderId="0" xfId="28" applyNumberFormat="1" applyFont="1" applyFill="1" applyAlignment="1" applyProtection="1">
      <alignment vertical="center"/>
    </xf>
    <xf numFmtId="166" fontId="67" fillId="0" borderId="0" xfId="28" applyNumberFormat="1" applyFont="1" applyFill="1" applyAlignment="1" applyProtection="1">
      <alignment vertical="center"/>
    </xf>
    <xf numFmtId="166" fontId="67" fillId="0" borderId="47" xfId="28" quotePrefix="1" applyNumberFormat="1" applyFont="1" applyFill="1" applyBorder="1" applyAlignment="1">
      <alignment horizontal="left" indent="1"/>
    </xf>
    <xf numFmtId="166" fontId="74" fillId="0" borderId="12" xfId="28" applyNumberFormat="1" applyFont="1" applyFill="1" applyBorder="1" applyProtection="1"/>
    <xf numFmtId="166" fontId="74" fillId="0" borderId="18" xfId="28" applyNumberFormat="1" applyFont="1" applyFill="1" applyBorder="1" applyProtection="1"/>
    <xf numFmtId="43" fontId="74" fillId="0" borderId="18" xfId="28" applyFont="1" applyFill="1" applyBorder="1" applyProtection="1"/>
    <xf numFmtId="166" fontId="83" fillId="0" borderId="0" xfId="28" quotePrefix="1" applyNumberFormat="1" applyFont="1" applyFill="1" applyAlignment="1">
      <alignment horizontal="left" indent="1"/>
    </xf>
    <xf numFmtId="166" fontId="83" fillId="0" borderId="20" xfId="28" quotePrefix="1" applyNumberFormat="1" applyFont="1" applyFill="1" applyBorder="1" applyAlignment="1">
      <alignment horizontal="left" indent="1"/>
    </xf>
    <xf numFmtId="166" fontId="83" fillId="0" borderId="18" xfId="28" applyNumberFormat="1" applyFont="1" applyFill="1" applyBorder="1" applyProtection="1"/>
    <xf numFmtId="166" fontId="83" fillId="0" borderId="0" xfId="28" applyNumberFormat="1" applyFont="1" applyFill="1"/>
    <xf numFmtId="43" fontId="53" fillId="0" borderId="0" xfId="28" applyFont="1" applyFill="1"/>
    <xf numFmtId="166" fontId="84" fillId="0" borderId="21" xfId="28" applyNumberFormat="1" applyFont="1" applyFill="1" applyBorder="1"/>
    <xf numFmtId="0" fontId="81" fillId="0" borderId="0" xfId="93" applyFont="1"/>
    <xf numFmtId="0" fontId="67" fillId="0" borderId="0" xfId="93" applyFont="1"/>
    <xf numFmtId="0" fontId="53" fillId="0" borderId="0" xfId="94" applyFont="1"/>
    <xf numFmtId="0" fontId="82" fillId="0" borderId="0" xfId="93" applyFont="1" applyAlignment="1">
      <alignment horizontal="center" vertical="center"/>
    </xf>
    <xf numFmtId="0" fontId="68" fillId="0" borderId="0" xfId="93" applyFont="1" applyAlignment="1">
      <alignment horizontal="center" vertical="center"/>
    </xf>
    <xf numFmtId="0" fontId="67" fillId="0" borderId="0" xfId="93" applyFont="1" applyAlignment="1">
      <alignment horizontal="center"/>
    </xf>
    <xf numFmtId="0" fontId="73" fillId="0" borderId="0" xfId="93" applyFont="1"/>
    <xf numFmtId="169" fontId="77" fillId="0" borderId="46" xfId="93" quotePrefix="1" applyNumberFormat="1" applyFont="1" applyBorder="1" applyAlignment="1">
      <alignment horizontal="center" vertical="center" wrapText="1"/>
    </xf>
    <xf numFmtId="17" fontId="77" fillId="0" borderId="46" xfId="93" applyNumberFormat="1" applyFont="1" applyBorder="1" applyAlignment="1">
      <alignment horizontal="center" vertical="center"/>
    </xf>
    <xf numFmtId="16" fontId="72" fillId="0" borderId="0" xfId="93" quotePrefix="1" applyNumberFormat="1" applyFont="1" applyAlignment="1">
      <alignment horizontal="center" vertical="center" wrapText="1"/>
    </xf>
    <xf numFmtId="0" fontId="73" fillId="0" borderId="0" xfId="94" applyFont="1"/>
    <xf numFmtId="0" fontId="70" fillId="0" borderId="0" xfId="93" applyFont="1"/>
    <xf numFmtId="0" fontId="67" fillId="0" borderId="0" xfId="93" quotePrefix="1" applyFont="1" applyAlignment="1">
      <alignment horizontal="left" indent="1"/>
    </xf>
    <xf numFmtId="0" fontId="67" fillId="0" borderId="0" xfId="93" applyFont="1" applyAlignment="1">
      <alignment horizontal="center" vertical="center" wrapText="1"/>
    </xf>
    <xf numFmtId="43" fontId="67" fillId="0" borderId="0" xfId="93" applyNumberFormat="1" applyFont="1" applyAlignment="1">
      <alignment horizontal="center" vertical="center" wrapText="1"/>
    </xf>
    <xf numFmtId="0" fontId="74" fillId="0" borderId="0" xfId="93" quotePrefix="1" applyFont="1" applyAlignment="1">
      <alignment horizontal="left" indent="1"/>
    </xf>
    <xf numFmtId="0" fontId="76" fillId="0" borderId="0" xfId="93" applyFont="1"/>
    <xf numFmtId="0" fontId="67" fillId="0" borderId="0" xfId="93" quotePrefix="1" applyFont="1"/>
    <xf numFmtId="37" fontId="67" fillId="0" borderId="18" xfId="93" applyNumberFormat="1" applyFont="1" applyBorder="1"/>
    <xf numFmtId="37" fontId="67" fillId="0" borderId="21" xfId="93" applyNumberFormat="1" applyFont="1" applyBorder="1"/>
    <xf numFmtId="37" fontId="67" fillId="0" borderId="12" xfId="93" applyNumberFormat="1" applyFont="1" applyBorder="1"/>
    <xf numFmtId="37" fontId="67" fillId="0" borderId="19" xfId="93" applyNumberFormat="1" applyFont="1" applyBorder="1"/>
    <xf numFmtId="0" fontId="76" fillId="0" borderId="0" xfId="93" quotePrefix="1" applyFont="1" applyAlignment="1">
      <alignment horizontal="left" indent="1"/>
    </xf>
    <xf numFmtId="37" fontId="67" fillId="0" borderId="0" xfId="93" applyNumberFormat="1" applyFont="1"/>
    <xf numFmtId="0" fontId="73" fillId="0" borderId="0" xfId="93" applyFont="1" applyAlignment="1">
      <alignment horizontal="center"/>
    </xf>
    <xf numFmtId="0" fontId="71" fillId="0" borderId="0" xfId="93" applyFont="1"/>
    <xf numFmtId="37" fontId="71" fillId="0" borderId="45" xfId="93" applyNumberFormat="1" applyFont="1" applyBorder="1"/>
    <xf numFmtId="0" fontId="81" fillId="0" borderId="0" xfId="93" applyFont="1" applyAlignment="1">
      <alignment horizontal="center"/>
    </xf>
    <xf numFmtId="0" fontId="77" fillId="0" borderId="0" xfId="94" applyFont="1"/>
    <xf numFmtId="166" fontId="77" fillId="0" borderId="45" xfId="94" applyNumberFormat="1" applyFont="1" applyBorder="1"/>
    <xf numFmtId="2" fontId="77" fillId="0" borderId="0" xfId="94" applyNumberFormat="1" applyFont="1"/>
    <xf numFmtId="43" fontId="53" fillId="0" borderId="0" xfId="94" applyNumberFormat="1" applyFont="1"/>
    <xf numFmtId="0" fontId="53" fillId="0" borderId="47" xfId="94" applyFont="1" applyBorder="1"/>
    <xf numFmtId="0" fontId="53" fillId="0" borderId="80" xfId="94" applyFont="1" applyBorder="1"/>
    <xf numFmtId="0" fontId="84" fillId="0" borderId="21" xfId="94" applyFont="1" applyBorder="1"/>
    <xf numFmtId="0" fontId="84" fillId="0" borderId="0" xfId="94" applyFont="1"/>
    <xf numFmtId="166" fontId="84" fillId="0" borderId="21" xfId="94" applyNumberFormat="1" applyFont="1" applyBorder="1"/>
    <xf numFmtId="0" fontId="84" fillId="0" borderId="81" xfId="94" applyFont="1" applyBorder="1"/>
    <xf numFmtId="43" fontId="84" fillId="0" borderId="81" xfId="94" applyNumberFormat="1" applyFont="1" applyBorder="1"/>
    <xf numFmtId="43" fontId="84" fillId="0" borderId="21" xfId="94" applyNumberFormat="1" applyFont="1" applyBorder="1"/>
    <xf numFmtId="0" fontId="85" fillId="0" borderId="46" xfId="94" applyFont="1" applyBorder="1"/>
    <xf numFmtId="0" fontId="86" fillId="0" borderId="38" xfId="94" applyFont="1" applyBorder="1"/>
    <xf numFmtId="43" fontId="85" fillId="0" borderId="46" xfId="94" applyNumberFormat="1" applyFont="1" applyBorder="1"/>
    <xf numFmtId="43" fontId="85" fillId="0" borderId="83" xfId="94" applyNumberFormat="1" applyFont="1" applyBorder="1"/>
    <xf numFmtId="0" fontId="84" fillId="0" borderId="20" xfId="94" applyFont="1" applyBorder="1"/>
    <xf numFmtId="0" fontId="84" fillId="0" borderId="82" xfId="94" applyFont="1" applyBorder="1"/>
    <xf numFmtId="169" fontId="77" fillId="39" borderId="46" xfId="93" quotePrefix="1" applyNumberFormat="1" applyFont="1" applyFill="1" applyBorder="1" applyAlignment="1">
      <alignment horizontal="center" vertical="center" wrapText="1"/>
    </xf>
    <xf numFmtId="17" fontId="77" fillId="39" borderId="46" xfId="93" applyNumberFormat="1" applyFont="1" applyFill="1" applyBorder="1" applyAlignment="1">
      <alignment horizontal="center" vertical="center"/>
    </xf>
    <xf numFmtId="16" fontId="77" fillId="39" borderId="44" xfId="93" quotePrefix="1" applyNumberFormat="1" applyFont="1" applyFill="1" applyBorder="1" applyAlignment="1">
      <alignment horizontal="center" vertical="center" wrapText="1"/>
    </xf>
    <xf numFmtId="0" fontId="71" fillId="39" borderId="46" xfId="93" applyFont="1" applyFill="1" applyBorder="1" applyAlignment="1">
      <alignment horizontal="center" vertical="center"/>
    </xf>
    <xf numFmtId="166" fontId="74" fillId="40" borderId="46" xfId="28" applyNumberFormat="1" applyFont="1" applyFill="1" applyBorder="1" applyAlignment="1" applyProtection="1">
      <alignment vertical="center"/>
    </xf>
    <xf numFmtId="166" fontId="74" fillId="40" borderId="10" xfId="28" applyNumberFormat="1" applyFont="1" applyFill="1" applyBorder="1" applyAlignment="1" applyProtection="1">
      <alignment vertical="center"/>
    </xf>
    <xf numFmtId="43" fontId="74" fillId="40" borderId="10" xfId="28" applyFont="1" applyFill="1" applyBorder="1" applyAlignment="1" applyProtection="1">
      <alignment vertical="center"/>
    </xf>
    <xf numFmtId="37" fontId="71" fillId="40" borderId="45" xfId="93" applyNumberFormat="1" applyFont="1" applyFill="1" applyBorder="1"/>
    <xf numFmtId="166" fontId="71" fillId="40" borderId="45" xfId="28" applyNumberFormat="1" applyFont="1" applyFill="1" applyBorder="1" applyProtection="1"/>
    <xf numFmtId="43" fontId="71" fillId="40" borderId="45" xfId="28" applyFont="1" applyFill="1" applyBorder="1" applyProtection="1"/>
    <xf numFmtId="166" fontId="77" fillId="40" borderId="45" xfId="94" applyNumberFormat="1" applyFont="1" applyFill="1" applyBorder="1"/>
    <xf numFmtId="2" fontId="77" fillId="40" borderId="45" xfId="94" applyNumberFormat="1" applyFont="1" applyFill="1" applyBorder="1"/>
    <xf numFmtId="0" fontId="53" fillId="39" borderId="46" xfId="94" applyFont="1" applyFill="1" applyBorder="1"/>
    <xf numFmtId="0" fontId="53" fillId="39" borderId="0" xfId="94" applyFont="1" applyFill="1"/>
    <xf numFmtId="0" fontId="57" fillId="39" borderId="46" xfId="94" applyFont="1" applyFill="1" applyBorder="1" applyAlignment="1">
      <alignment horizontal="center"/>
    </xf>
    <xf numFmtId="0" fontId="67" fillId="41" borderId="0" xfId="93" quotePrefix="1" applyFont="1" applyFill="1" applyAlignment="1">
      <alignment horizontal="left" indent="1"/>
    </xf>
    <xf numFmtId="166" fontId="67" fillId="41" borderId="21" xfId="28" quotePrefix="1" applyNumberFormat="1" applyFont="1" applyFill="1" applyBorder="1" applyAlignment="1">
      <alignment horizontal="left" indent="1"/>
    </xf>
    <xf numFmtId="166" fontId="74" fillId="41" borderId="18" xfId="28" applyNumberFormat="1" applyFont="1" applyFill="1" applyBorder="1" applyProtection="1"/>
    <xf numFmtId="0" fontId="67" fillId="26" borderId="0" xfId="93" quotePrefix="1" applyFont="1" applyFill="1" applyAlignment="1">
      <alignment horizontal="left" indent="1"/>
    </xf>
    <xf numFmtId="166" fontId="67" fillId="26" borderId="21" xfId="28" quotePrefix="1" applyNumberFormat="1" applyFont="1" applyFill="1" applyBorder="1" applyAlignment="1">
      <alignment horizontal="left" indent="1"/>
    </xf>
    <xf numFmtId="166" fontId="74" fillId="26" borderId="18" xfId="28" applyNumberFormat="1" applyFont="1" applyFill="1" applyBorder="1" applyProtection="1"/>
    <xf numFmtId="0" fontId="67" fillId="42" borderId="0" xfId="93" quotePrefix="1" applyFont="1" applyFill="1" applyAlignment="1">
      <alignment horizontal="left" indent="1"/>
    </xf>
    <xf numFmtId="166" fontId="67" fillId="42" borderId="21" xfId="28" quotePrefix="1" applyNumberFormat="1" applyFont="1" applyFill="1" applyBorder="1" applyAlignment="1">
      <alignment horizontal="left" indent="1"/>
    </xf>
    <xf numFmtId="166" fontId="74" fillId="42" borderId="18" xfId="28" applyNumberFormat="1" applyFont="1" applyFill="1" applyBorder="1" applyProtection="1"/>
    <xf numFmtId="0" fontId="67" fillId="43" borderId="0" xfId="93" quotePrefix="1" applyFont="1" applyFill="1" applyAlignment="1">
      <alignment horizontal="left" indent="1"/>
    </xf>
    <xf numFmtId="166" fontId="67" fillId="43" borderId="21" xfId="28" quotePrefix="1" applyNumberFormat="1" applyFont="1" applyFill="1" applyBorder="1" applyAlignment="1">
      <alignment horizontal="left" indent="1"/>
    </xf>
    <xf numFmtId="166" fontId="74" fillId="43" borderId="18" xfId="28" applyNumberFormat="1" applyFont="1" applyFill="1" applyBorder="1" applyProtection="1"/>
    <xf numFmtId="43" fontId="74" fillId="0" borderId="47" xfId="28" applyFont="1" applyFill="1" applyBorder="1" applyProtection="1"/>
    <xf numFmtId="43" fontId="74" fillId="0" borderId="21" xfId="28" applyFont="1" applyFill="1" applyBorder="1" applyProtection="1"/>
    <xf numFmtId="43" fontId="74" fillId="26" borderId="21" xfId="28" applyFont="1" applyFill="1" applyBorder="1" applyProtection="1"/>
    <xf numFmtId="43" fontId="74" fillId="43" borderId="21" xfId="28" applyFont="1" applyFill="1" applyBorder="1" applyProtection="1"/>
    <xf numFmtId="43" fontId="74" fillId="41" borderId="21" xfId="28" applyFont="1" applyFill="1" applyBorder="1" applyProtection="1"/>
    <xf numFmtId="43" fontId="74" fillId="42" borderId="21" xfId="28" applyFont="1" applyFill="1" applyBorder="1" applyProtection="1"/>
    <xf numFmtId="43" fontId="74" fillId="0" borderId="20" xfId="28" applyFont="1" applyFill="1" applyBorder="1" applyProtection="1"/>
    <xf numFmtId="9" fontId="75" fillId="0" borderId="46" xfId="43" applyFont="1" applyFill="1" applyBorder="1" applyAlignment="1" applyProtection="1">
      <alignment horizontal="right"/>
    </xf>
    <xf numFmtId="167" fontId="87" fillId="0" borderId="0" xfId="0" applyFont="1"/>
    <xf numFmtId="167" fontId="15" fillId="0" borderId="46" xfId="0" applyFont="1" applyBorder="1"/>
    <xf numFmtId="167" fontId="0" fillId="0" borderId="46" xfId="0" applyBorder="1"/>
    <xf numFmtId="167" fontId="87" fillId="0" borderId="46" xfId="0" applyFont="1" applyBorder="1"/>
    <xf numFmtId="167" fontId="87" fillId="24" borderId="46" xfId="0" applyFont="1" applyFill="1" applyBorder="1" applyAlignment="1">
      <alignment horizontal="center" vertical="center" wrapText="1"/>
    </xf>
    <xf numFmtId="167" fontId="87" fillId="24" borderId="46" xfId="0" applyFont="1" applyFill="1" applyBorder="1" applyAlignment="1">
      <alignment vertical="center"/>
    </xf>
    <xf numFmtId="0" fontId="69" fillId="0" borderId="15" xfId="94" applyFont="1" applyBorder="1" applyAlignment="1">
      <alignment horizontal="center" vertical="center" wrapText="1"/>
    </xf>
    <xf numFmtId="0" fontId="69" fillId="0" borderId="16" xfId="94" applyFont="1" applyBorder="1" applyAlignment="1">
      <alignment horizontal="center" vertical="center" wrapText="1"/>
    </xf>
    <xf numFmtId="0" fontId="69" fillId="0" borderId="17" xfId="94" applyFont="1" applyBorder="1" applyAlignment="1">
      <alignment horizontal="center" vertical="center" wrapText="1"/>
    </xf>
    <xf numFmtId="0" fontId="42" fillId="32" borderId="19" xfId="90" applyFont="1" applyFill="1" applyBorder="1" applyAlignment="1">
      <alignment horizontal="center" vertical="center" textRotation="180" wrapText="1"/>
    </xf>
    <xf numFmtId="0" fontId="42" fillId="32" borderId="21" xfId="90" applyFont="1" applyFill="1" applyBorder="1" applyAlignment="1">
      <alignment horizontal="center" vertical="center" textRotation="180" wrapText="1"/>
    </xf>
    <xf numFmtId="0" fontId="42" fillId="32" borderId="20" xfId="90" applyFont="1" applyFill="1" applyBorder="1" applyAlignment="1">
      <alignment horizontal="center" vertical="center" textRotation="180" wrapText="1"/>
    </xf>
    <xf numFmtId="0" fontId="48" fillId="28" borderId="10" xfId="87" applyFont="1" applyFill="1" applyBorder="1" applyAlignment="1">
      <alignment horizontal="center" vertical="center"/>
    </xf>
    <xf numFmtId="0" fontId="42" fillId="32" borderId="47" xfId="90" applyFont="1" applyFill="1" applyBorder="1" applyAlignment="1">
      <alignment horizontal="center" vertical="center" textRotation="180" wrapText="1"/>
    </xf>
    <xf numFmtId="167" fontId="65" fillId="0" borderId="15" xfId="0" applyFont="1" applyBorder="1" applyAlignment="1">
      <alignment horizontal="center"/>
    </xf>
    <xf numFmtId="167" fontId="65" fillId="0" borderId="16" xfId="0" applyFont="1" applyBorder="1" applyAlignment="1">
      <alignment horizontal="center"/>
    </xf>
    <xf numFmtId="167" fontId="65" fillId="0" borderId="17" xfId="0" applyFont="1" applyBorder="1" applyAlignment="1">
      <alignment horizontal="center"/>
    </xf>
    <xf numFmtId="167" fontId="64" fillId="0" borderId="15" xfId="0" applyFont="1" applyBorder="1" applyAlignment="1">
      <alignment horizontal="center"/>
    </xf>
    <xf numFmtId="167" fontId="64" fillId="0" borderId="16" xfId="0" applyFont="1" applyBorder="1" applyAlignment="1">
      <alignment horizontal="center"/>
    </xf>
    <xf numFmtId="167" fontId="64" fillId="0" borderId="17" xfId="0" applyFont="1" applyBorder="1" applyAlignment="1">
      <alignment horizontal="center"/>
    </xf>
    <xf numFmtId="3" fontId="57" fillId="0" borderId="62" xfId="28" applyNumberFormat="1" applyFont="1" applyBorder="1" applyAlignment="1" applyProtection="1">
      <alignment horizontal="left" vertical="center" wrapText="1"/>
    </xf>
    <xf numFmtId="3" fontId="57" fillId="0" borderId="13" xfId="28" applyNumberFormat="1" applyFont="1" applyBorder="1" applyAlignment="1" applyProtection="1">
      <alignment horizontal="left" vertical="center" wrapText="1"/>
    </xf>
    <xf numFmtId="3" fontId="57" fillId="0" borderId="58" xfId="28" applyNumberFormat="1" applyFont="1" applyBorder="1" applyAlignment="1" applyProtection="1">
      <alignment horizontal="left" vertical="center" wrapText="1"/>
    </xf>
  </cellXfs>
  <cellStyles count="9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 2" xfId="77" xr:uid="{00000000-0005-0000-0000-00001C000000}"/>
    <cellStyle name="Comma [0] 3" xfId="79" xr:uid="{00000000-0005-0000-0000-00001D000000}"/>
    <cellStyle name="Comma [0] 4" xfId="81" xr:uid="{00000000-0005-0000-0000-00001E000000}"/>
    <cellStyle name="Comma [0] 5" xfId="86" xr:uid="{00000000-0005-0000-0000-00001F000000}"/>
    <cellStyle name="Comma 10 7" xfId="59" xr:uid="{00000000-0005-0000-0000-000020000000}"/>
    <cellStyle name="Comma 2" xfId="49" xr:uid="{00000000-0005-0000-0000-000021000000}"/>
    <cellStyle name="Comma 24 2" xfId="95" xr:uid="{00000000-0005-0000-0000-000022000000}"/>
    <cellStyle name="Comma 3" xfId="51" xr:uid="{00000000-0005-0000-0000-000023000000}"/>
    <cellStyle name="Comma 3 2" xfId="63" xr:uid="{00000000-0005-0000-0000-000024000000}"/>
    <cellStyle name="Comma 4" xfId="55" xr:uid="{00000000-0005-0000-0000-000025000000}"/>
    <cellStyle name="Comma 4 2" xfId="65" xr:uid="{00000000-0005-0000-0000-000026000000}"/>
    <cellStyle name="Comma 4 3" xfId="68" xr:uid="{00000000-0005-0000-0000-000027000000}"/>
    <cellStyle name="Comma 4 4" xfId="75" xr:uid="{00000000-0005-0000-0000-000028000000}"/>
    <cellStyle name="Comma 5" xfId="61" xr:uid="{00000000-0005-0000-0000-000029000000}"/>
    <cellStyle name="Comma 6" xfId="71" xr:uid="{00000000-0005-0000-0000-00002A000000}"/>
    <cellStyle name="Comma 7" xfId="80" xr:uid="{00000000-0005-0000-0000-00002B000000}"/>
    <cellStyle name="Comma 8" xfId="89" xr:uid="{00000000-0005-0000-0000-00002C000000}"/>
    <cellStyle name="Currency" xfId="97" builtinId="4"/>
    <cellStyle name="Currency 2" xfId="96" xr:uid="{00000000-0005-0000-0000-00002E000000}"/>
    <cellStyle name="Euro" xfId="29" xr:uid="{00000000-0005-0000-0000-00002F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57" xr:uid="{00000000-0005-0000-0000-000036000000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10" xfId="69" xr:uid="{00000000-0005-0000-0000-00003B000000}"/>
    <cellStyle name="Normal 11" xfId="76" xr:uid="{00000000-0005-0000-0000-00003C000000}"/>
    <cellStyle name="Normal 12" xfId="78" xr:uid="{00000000-0005-0000-0000-00003D000000}"/>
    <cellStyle name="Normal 12 2" xfId="85" xr:uid="{00000000-0005-0000-0000-00003E000000}"/>
    <cellStyle name="Normal 13" xfId="82" xr:uid="{00000000-0005-0000-0000-00003F000000}"/>
    <cellStyle name="Normal 14" xfId="87" xr:uid="{00000000-0005-0000-0000-000040000000}"/>
    <cellStyle name="Normal 15" xfId="92" xr:uid="{00000000-0005-0000-0000-000041000000}"/>
    <cellStyle name="Normal 16" xfId="94" xr:uid="{00000000-0005-0000-0000-000042000000}"/>
    <cellStyle name="Normal 2" xfId="39" xr:uid="{00000000-0005-0000-0000-000043000000}"/>
    <cellStyle name="Normal 2 2" xfId="62" xr:uid="{00000000-0005-0000-0000-000044000000}"/>
    <cellStyle name="Normal 2 3" xfId="84" xr:uid="{00000000-0005-0000-0000-000045000000}"/>
    <cellStyle name="Normal 27 2" xfId="93" xr:uid="{00000000-0005-0000-0000-000046000000}"/>
    <cellStyle name="Normal 3" xfId="40" xr:uid="{00000000-0005-0000-0000-000047000000}"/>
    <cellStyle name="Normal 3 2" xfId="64" xr:uid="{00000000-0005-0000-0000-000048000000}"/>
    <cellStyle name="Normal 3 3" xfId="70" xr:uid="{00000000-0005-0000-0000-000049000000}"/>
    <cellStyle name="Normal 4" xfId="48" xr:uid="{00000000-0005-0000-0000-00004A000000}"/>
    <cellStyle name="Normal 4 2" xfId="74" xr:uid="{00000000-0005-0000-0000-00004B000000}"/>
    <cellStyle name="Normal 438" xfId="58" xr:uid="{00000000-0005-0000-0000-00004C000000}"/>
    <cellStyle name="Normal 5" xfId="50" xr:uid="{00000000-0005-0000-0000-00004D000000}"/>
    <cellStyle name="Normal 6" xfId="52" xr:uid="{00000000-0005-0000-0000-00004E000000}"/>
    <cellStyle name="Normal 7" xfId="53" xr:uid="{00000000-0005-0000-0000-00004F000000}"/>
    <cellStyle name="Normal 8" xfId="54" xr:uid="{00000000-0005-0000-0000-000050000000}"/>
    <cellStyle name="Normal 8 2" xfId="67" xr:uid="{00000000-0005-0000-0000-000051000000}"/>
    <cellStyle name="Normal 8 3" xfId="73" xr:uid="{00000000-0005-0000-0000-000052000000}"/>
    <cellStyle name="Normal 9" xfId="60" xr:uid="{00000000-0005-0000-0000-000053000000}"/>
    <cellStyle name="Normal 91 2" xfId="90" xr:uid="{00000000-0005-0000-0000-000054000000}"/>
    <cellStyle name="Note" xfId="41" builtinId="10" customBuiltin="1"/>
    <cellStyle name="Output" xfId="42" builtinId="21" customBuiltin="1"/>
    <cellStyle name="Percent" xfId="43" builtinId="5"/>
    <cellStyle name="Percent 2" xfId="56" xr:uid="{00000000-0005-0000-0000-000058000000}"/>
    <cellStyle name="Percent 2 2" xfId="66" xr:uid="{00000000-0005-0000-0000-000059000000}"/>
    <cellStyle name="Percent 3" xfId="72" xr:uid="{00000000-0005-0000-0000-00005A000000}"/>
    <cellStyle name="Percent 4" xfId="83" xr:uid="{00000000-0005-0000-0000-00005B000000}"/>
    <cellStyle name="Percent 5" xfId="88" xr:uid="{00000000-0005-0000-0000-00005C000000}"/>
    <cellStyle name="Percent 96 2" xfId="91" xr:uid="{00000000-0005-0000-0000-00005D000000}"/>
    <cellStyle name="Style 1" xfId="44" xr:uid="{00000000-0005-0000-0000-00005E000000}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colors>
    <mruColors>
      <color rgb="FFC0E399"/>
      <color rgb="FFFFFFC5"/>
      <color rgb="FF3333FF"/>
      <color rgb="FFA50021"/>
      <color rgb="FF333399"/>
      <color rgb="FF008000"/>
      <color rgb="FFFFFFA3"/>
      <color rgb="FFD5E0F3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0</xdr:row>
          <xdr:rowOff>68580</xdr:rowOff>
        </xdr:from>
        <xdr:to>
          <xdr:col>1</xdr:col>
          <xdr:colOff>1021080</xdr:colOff>
          <xdr:row>1</xdr:row>
          <xdr:rowOff>114300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200" b="1" i="0" u="sng" strike="noStrike" baseline="0">
                  <a:solidFill>
                    <a:srgbClr val="003366"/>
                  </a:solidFill>
                  <a:latin typeface="Century Gothic"/>
                </a:rPr>
                <a:t>Add New</a:t>
              </a:r>
            </a:p>
          </xdr:txBody>
        </xdr:sp>
        <xdr:clientData fPrintsWithSheet="0"/>
      </xdr:twoCellAnchor>
    </mc:Choice>
    <mc:Fallback/>
  </mc:AlternateContent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el">
  <a:themeElements>
    <a:clrScheme name="Oriel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riel">
      <a:majorFont>
        <a:latin typeface="Century Schoolbook"/>
        <a:ea typeface=""/>
        <a:cs typeface=""/>
        <a:font script="Jpan" typeface="ＭＳ Ｐ明朝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Schoolbook"/>
        <a:ea typeface=""/>
        <a:cs typeface=""/>
        <a:font script="Jpan" typeface="ＭＳ Ｐ明朝"/>
        <a:font script="Hang" typeface="휴먼매직체"/>
        <a:font script="Hans" typeface="宋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riel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60000"/>
              </a:schemeClr>
            </a:gs>
            <a:gs pos="30000">
              <a:schemeClr val="phClr">
                <a:tint val="38000"/>
                <a:satMod val="260000"/>
              </a:schemeClr>
            </a:gs>
            <a:gs pos="75000">
              <a:schemeClr val="phClr">
                <a:tint val="55000"/>
                <a:satMod val="255000"/>
              </a:schemeClr>
            </a:gs>
            <a:gs pos="100000">
              <a:schemeClr val="phClr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gradFill rotWithShape="1">
          <a:gsLst>
            <a:gs pos="0">
              <a:schemeClr val="phClr">
                <a:shade val="63000"/>
                <a:satMod val="165000"/>
              </a:schemeClr>
            </a:gs>
            <a:gs pos="30000">
              <a:schemeClr val="phClr">
                <a:shade val="58000"/>
                <a:satMod val="165000"/>
              </a:schemeClr>
            </a:gs>
            <a:gs pos="75000">
              <a:schemeClr val="phClr">
                <a:shade val="30000"/>
                <a:satMod val="175000"/>
              </a:schemeClr>
            </a:gs>
            <a:gs pos="100000">
              <a:schemeClr val="phClr">
                <a:shade val="15000"/>
                <a:satMod val="175000"/>
              </a:schemeClr>
            </a:gs>
          </a:gsLst>
          <a:path path="circle">
            <a:fillToRect l="5000" t="100000" r="120000" b="10000"/>
          </a:path>
        </a:gradFill>
      </a:fillStyleLst>
      <a:lnStyleLst>
        <a:ln w="12700" cap="flat" cmpd="sng" algn="ctr">
          <a:solidFill>
            <a:schemeClr val="phClr">
              <a:shade val="70000"/>
              <a:satMod val="15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0"/>
            </a:lightRig>
          </a:scene3d>
          <a:sp3d>
            <a:bevelT w="47625" h="69850"/>
            <a:contourClr>
              <a:schemeClr val="lt1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8000"/>
                <a:satMod val="125000"/>
              </a:schemeClr>
            </a:gs>
            <a:gs pos="40000">
              <a:schemeClr val="phClr">
                <a:tint val="90000"/>
                <a:shade val="90000"/>
                <a:satMod val="120000"/>
              </a:schemeClr>
            </a:gs>
            <a:gs pos="100000">
              <a:schemeClr val="phClr">
                <a:tint val="5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80000"/>
              </a:schemeClr>
              <a:schemeClr val="phClr">
                <a:tint val="91000"/>
              </a:schemeClr>
            </a:duotone>
          </a:blip>
          <a:tile tx="0" ty="0" sx="40000" sy="50000" flip="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U76"/>
  <sheetViews>
    <sheetView showGridLines="0" zoomScaleNormal="100" workbookViewId="0">
      <pane xSplit="2" ySplit="4" topLeftCell="G5" activePane="bottomRight" state="frozen"/>
      <selection activeCell="B24" sqref="B24:B28"/>
      <selection pane="topRight" activeCell="B24" sqref="B24:B28"/>
      <selection pane="bottomLeft" activeCell="B24" sqref="B24:B28"/>
      <selection pane="bottomRight" activeCell="B24" sqref="B24:B28"/>
    </sheetView>
  </sheetViews>
  <sheetFormatPr defaultRowHeight="13.2" x14ac:dyDescent="0.25"/>
  <cols>
    <col min="1" max="1" width="2.44140625" style="348" customWidth="1"/>
    <col min="2" max="2" width="34.44140625" style="348" customWidth="1"/>
    <col min="3" max="4" width="17.88671875" style="348" hidden="1" customWidth="1"/>
    <col min="5" max="5" width="18" style="348" hidden="1" customWidth="1"/>
    <col min="6" max="6" width="17.88671875" style="348" hidden="1" customWidth="1"/>
    <col min="7" max="7" width="17.88671875" style="348" bestFit="1" customWidth="1"/>
    <col min="8" max="8" width="18.109375" style="348" bestFit="1" customWidth="1"/>
    <col min="9" max="9" width="17" style="348" customWidth="1"/>
    <col min="10" max="10" width="15.44140625" style="348" customWidth="1"/>
    <col min="11" max="11" width="5.88671875" style="348" bestFit="1" customWidth="1"/>
    <col min="12" max="12" width="8.88671875" style="348"/>
    <col min="13" max="13" width="13.109375" style="348" bestFit="1" customWidth="1"/>
    <col min="14" max="42" width="8.88671875" style="348"/>
    <col min="43" max="43" width="28.109375" style="348" bestFit="1" customWidth="1"/>
    <col min="44" max="47" width="11.88671875" style="348" bestFit="1" customWidth="1"/>
    <col min="48" max="16384" width="8.88671875" style="348"/>
  </cols>
  <sheetData>
    <row r="1" spans="1:47" ht="8.4" customHeight="1" thickBot="1" x14ac:dyDescent="0.3">
      <c r="A1" s="346"/>
      <c r="B1" s="347"/>
      <c r="C1" s="347"/>
      <c r="D1" s="347"/>
      <c r="E1" s="347"/>
      <c r="F1" s="347"/>
      <c r="G1" s="347"/>
      <c r="H1" s="347"/>
      <c r="I1" s="347"/>
      <c r="J1" s="347"/>
      <c r="K1" s="347"/>
      <c r="AQ1" s="347"/>
      <c r="AR1" s="347"/>
      <c r="AS1" s="347"/>
      <c r="AT1" s="347"/>
      <c r="AU1" s="347"/>
    </row>
    <row r="2" spans="1:47" s="350" customFormat="1" ht="33" customHeight="1" thickBot="1" x14ac:dyDescent="0.3">
      <c r="A2" s="349"/>
      <c r="B2" s="433" t="s">
        <v>91</v>
      </c>
      <c r="C2" s="434"/>
      <c r="D2" s="434"/>
      <c r="E2" s="434"/>
      <c r="F2" s="434"/>
      <c r="G2" s="434"/>
      <c r="H2" s="434"/>
      <c r="I2" s="435"/>
      <c r="J2" s="347"/>
      <c r="K2" s="347"/>
    </row>
    <row r="3" spans="1:47" ht="6" customHeight="1" x14ac:dyDescent="0.25">
      <c r="A3" s="346"/>
      <c r="B3" s="347"/>
      <c r="C3" s="347"/>
      <c r="D3" s="347"/>
      <c r="E3" s="347"/>
      <c r="F3" s="347"/>
      <c r="G3" s="347"/>
      <c r="H3" s="347"/>
      <c r="I3" s="351"/>
      <c r="J3" s="347"/>
      <c r="K3" s="347"/>
      <c r="AQ3" s="347"/>
      <c r="AR3" s="347"/>
      <c r="AS3" s="347"/>
      <c r="AT3" s="347"/>
      <c r="AU3" s="347"/>
    </row>
    <row r="4" spans="1:47" s="356" customFormat="1" ht="30" x14ac:dyDescent="0.25">
      <c r="A4" s="352"/>
      <c r="B4" s="395" t="s">
        <v>306</v>
      </c>
      <c r="C4" s="353">
        <v>46023</v>
      </c>
      <c r="D4" s="354">
        <v>46054</v>
      </c>
      <c r="E4" s="353">
        <v>46082</v>
      </c>
      <c r="F4" s="354">
        <v>46113</v>
      </c>
      <c r="G4" s="392">
        <v>46143</v>
      </c>
      <c r="H4" s="393">
        <v>46174</v>
      </c>
      <c r="I4" s="394" t="s">
        <v>92</v>
      </c>
      <c r="J4" s="394" t="s">
        <v>93</v>
      </c>
      <c r="K4" s="355"/>
      <c r="AQ4" s="357"/>
      <c r="AR4" s="357"/>
      <c r="AS4" s="357"/>
      <c r="AT4" s="357"/>
      <c r="AU4" s="357"/>
    </row>
    <row r="5" spans="1:47" ht="13.8" x14ac:dyDescent="0.25">
      <c r="A5" s="346"/>
      <c r="B5" s="358" t="s">
        <v>94</v>
      </c>
      <c r="C5" s="327">
        <v>5777756</v>
      </c>
      <c r="D5" s="327">
        <v>6170709</v>
      </c>
      <c r="E5" s="327">
        <v>5825304.8099999996</v>
      </c>
      <c r="F5" s="327">
        <v>6987241</v>
      </c>
      <c r="G5" s="336">
        <v>6388000.9457121827</v>
      </c>
      <c r="H5" s="336">
        <v>6536735</v>
      </c>
      <c r="I5" s="336">
        <f>IFERROR(AVERAGE(G5:H5),0)</f>
        <v>6462367.9728560913</v>
      </c>
      <c r="J5" s="328">
        <f>+I5</f>
        <v>6462367.9728560913</v>
      </c>
      <c r="K5" s="359"/>
      <c r="M5" s="344"/>
      <c r="AQ5" s="347"/>
      <c r="AR5" s="347"/>
      <c r="AS5" s="347"/>
      <c r="AT5" s="347"/>
      <c r="AU5" s="347"/>
    </row>
    <row r="6" spans="1:47" ht="13.8" x14ac:dyDescent="0.25">
      <c r="A6" s="346"/>
      <c r="B6" s="358" t="s">
        <v>95</v>
      </c>
      <c r="C6" s="327">
        <v>3140509</v>
      </c>
      <c r="D6" s="327">
        <v>3519579</v>
      </c>
      <c r="E6" s="327">
        <v>2739816.1799999992</v>
      </c>
      <c r="F6" s="327">
        <v>3281077.790000001</v>
      </c>
      <c r="G6" s="320">
        <v>3110908.26</v>
      </c>
      <c r="H6" s="320">
        <v>3369625</v>
      </c>
      <c r="I6" s="320">
        <f>IFERROR(AVERAGE(G6:H6),0)</f>
        <v>3240266.63</v>
      </c>
      <c r="J6" s="360"/>
      <c r="K6" s="359"/>
      <c r="AQ6" s="347"/>
      <c r="AR6" s="347"/>
      <c r="AS6" s="347"/>
      <c r="AT6" s="347"/>
      <c r="AU6" s="347"/>
    </row>
    <row r="7" spans="1:47" ht="19.8" x14ac:dyDescent="0.35">
      <c r="A7" s="346"/>
      <c r="B7" s="361" t="s">
        <v>96</v>
      </c>
      <c r="C7" s="329">
        <f t="shared" ref="C7" si="0">C6/C5</f>
        <v>0.54355168338711435</v>
      </c>
      <c r="D7" s="329">
        <f>D6/D5</f>
        <v>0.57036865617873089</v>
      </c>
      <c r="E7" s="329">
        <f t="shared" ref="E7:H7" si="1">E6/E5</f>
        <v>0.47033009762797279</v>
      </c>
      <c r="F7" s="329">
        <f t="shared" si="1"/>
        <v>0.46958131113553991</v>
      </c>
      <c r="G7" s="426">
        <f t="shared" si="1"/>
        <v>0.48699245451554518</v>
      </c>
      <c r="H7" s="426">
        <f t="shared" si="1"/>
        <v>0.51549053158801761</v>
      </c>
      <c r="I7" s="426">
        <f t="shared" ref="I7" si="2">I6/I5</f>
        <v>0.50140546679020814</v>
      </c>
      <c r="J7" s="359"/>
      <c r="K7" s="359"/>
      <c r="AQ7" s="347"/>
      <c r="AR7" s="347"/>
      <c r="AS7" s="347"/>
      <c r="AT7" s="347"/>
      <c r="AU7" s="347"/>
    </row>
    <row r="8" spans="1:47" ht="4.8" customHeight="1" x14ac:dyDescent="0.25">
      <c r="A8" s="346"/>
      <c r="B8" s="347"/>
      <c r="C8" s="330"/>
      <c r="D8" s="330"/>
      <c r="E8" s="330"/>
      <c r="F8" s="330"/>
      <c r="G8" s="330"/>
      <c r="H8" s="330"/>
      <c r="I8" s="359"/>
      <c r="J8" s="359"/>
      <c r="K8" s="359"/>
      <c r="AQ8" s="347"/>
      <c r="AR8" s="347"/>
      <c r="AS8" s="347"/>
      <c r="AT8" s="347"/>
      <c r="AU8" s="347"/>
    </row>
    <row r="9" spans="1:47" ht="4.8" customHeight="1" x14ac:dyDescent="0.25">
      <c r="A9" s="346"/>
      <c r="B9" s="347"/>
      <c r="C9" s="330"/>
      <c r="D9" s="330"/>
      <c r="E9" s="330"/>
      <c r="F9" s="330"/>
      <c r="G9" s="330"/>
      <c r="H9" s="330"/>
      <c r="I9" s="359"/>
      <c r="J9" s="359"/>
      <c r="K9" s="359"/>
      <c r="AQ9" s="347"/>
      <c r="AR9" s="347"/>
      <c r="AS9" s="347"/>
      <c r="AT9" s="347"/>
      <c r="AU9" s="347"/>
    </row>
    <row r="10" spans="1:47" ht="4.8" customHeight="1" x14ac:dyDescent="0.25">
      <c r="A10" s="346"/>
      <c r="B10" s="347"/>
      <c r="C10" s="330"/>
      <c r="D10" s="330"/>
      <c r="E10" s="330"/>
      <c r="F10" s="330"/>
      <c r="G10" s="330"/>
      <c r="H10" s="330"/>
      <c r="I10" s="359"/>
      <c r="J10" s="359"/>
      <c r="K10" s="359"/>
      <c r="AQ10" s="347"/>
      <c r="AR10" s="347"/>
      <c r="AS10" s="347"/>
      <c r="AT10" s="347"/>
      <c r="AU10" s="347"/>
    </row>
    <row r="11" spans="1:47" ht="4.8" customHeight="1" x14ac:dyDescent="0.25">
      <c r="A11" s="346"/>
      <c r="B11" s="347"/>
      <c r="C11" s="330"/>
      <c r="D11" s="330"/>
      <c r="E11" s="330"/>
      <c r="F11" s="330"/>
      <c r="G11" s="330"/>
      <c r="H11" s="330"/>
      <c r="I11" s="359"/>
      <c r="J11" s="359"/>
      <c r="K11" s="359"/>
      <c r="AQ11" s="347"/>
      <c r="AR11" s="347"/>
      <c r="AS11" s="347"/>
      <c r="AT11" s="347"/>
      <c r="AU11" s="347"/>
    </row>
    <row r="12" spans="1:47" ht="13.8" x14ac:dyDescent="0.25">
      <c r="A12" s="346"/>
      <c r="B12" s="362" t="s">
        <v>97</v>
      </c>
      <c r="C12" s="331"/>
      <c r="D12" s="331"/>
      <c r="E12" s="331"/>
      <c r="F12" s="331"/>
      <c r="G12" s="331"/>
      <c r="H12" s="331"/>
      <c r="I12" s="359"/>
      <c r="J12" s="359"/>
      <c r="K12" s="359"/>
      <c r="AQ12" s="363" t="s">
        <v>98</v>
      </c>
      <c r="AR12" s="364">
        <v>8495000</v>
      </c>
      <c r="AS12" s="364">
        <v>8495000</v>
      </c>
      <c r="AT12" s="364">
        <v>8567000</v>
      </c>
      <c r="AU12" s="365">
        <f>AVERAGE(AR12:AT12)</f>
        <v>8519000</v>
      </c>
    </row>
    <row r="13" spans="1:47" s="334" customFormat="1" ht="21" customHeight="1" x14ac:dyDescent="0.25">
      <c r="A13" s="319" t="s">
        <v>291</v>
      </c>
      <c r="B13" s="332" t="s">
        <v>99</v>
      </c>
      <c r="C13" s="333">
        <v>49680298</v>
      </c>
      <c r="D13" s="333">
        <v>47609621</v>
      </c>
      <c r="E13" s="333">
        <v>46947336</v>
      </c>
      <c r="F13" s="333">
        <v>44804053</v>
      </c>
      <c r="G13" s="396">
        <v>54970275</v>
      </c>
      <c r="H13" s="396">
        <v>60499711</v>
      </c>
      <c r="I13" s="397">
        <f>IFERROR(AVERAGE(G13:H13),0)</f>
        <v>57734993</v>
      </c>
      <c r="J13" s="398">
        <f>I13/J$5</f>
        <v>8.934030566273</v>
      </c>
      <c r="K13" s="193"/>
      <c r="AQ13" s="335"/>
      <c r="AR13" s="335"/>
      <c r="AS13" s="335"/>
      <c r="AT13" s="335"/>
      <c r="AU13" s="335"/>
    </row>
    <row r="14" spans="1:47" ht="13.8" x14ac:dyDescent="0.25">
      <c r="A14" s="319"/>
      <c r="B14" s="347"/>
      <c r="C14" s="330"/>
      <c r="D14" s="330"/>
      <c r="E14" s="330"/>
      <c r="F14" s="330"/>
      <c r="G14" s="330"/>
      <c r="H14" s="330"/>
      <c r="I14" s="347"/>
      <c r="J14" s="347"/>
      <c r="K14" s="347"/>
      <c r="AQ14" s="363" t="s">
        <v>100</v>
      </c>
      <c r="AR14" s="366">
        <v>44420634</v>
      </c>
      <c r="AS14" s="366">
        <v>43814024</v>
      </c>
      <c r="AT14" s="366">
        <v>44489280</v>
      </c>
      <c r="AU14" s="367">
        <f>AVERAGE(AR14:AT14)</f>
        <v>44241312.666666664</v>
      </c>
    </row>
    <row r="15" spans="1:47" ht="13.8" x14ac:dyDescent="0.25">
      <c r="A15" s="319"/>
      <c r="B15" s="362" t="s">
        <v>101</v>
      </c>
      <c r="C15" s="331"/>
      <c r="D15" s="331"/>
      <c r="E15" s="331"/>
      <c r="F15" s="331"/>
      <c r="G15" s="331"/>
      <c r="H15" s="331"/>
      <c r="I15" s="359"/>
      <c r="J15" s="359"/>
      <c r="K15" s="359"/>
      <c r="AQ15" s="363" t="s">
        <v>98</v>
      </c>
      <c r="AR15" s="364">
        <v>8495000</v>
      </c>
      <c r="AS15" s="364">
        <v>8495000</v>
      </c>
      <c r="AT15" s="364">
        <v>8567000</v>
      </c>
      <c r="AU15" s="365">
        <f>AVERAGE(AR15:AT15)</f>
        <v>8519000</v>
      </c>
    </row>
    <row r="16" spans="1:47" ht="13.8" x14ac:dyDescent="0.25">
      <c r="A16" s="319" t="s">
        <v>34</v>
      </c>
      <c r="B16" s="358" t="s">
        <v>102</v>
      </c>
      <c r="C16" s="336">
        <f>128179306-C13</f>
        <v>78499008</v>
      </c>
      <c r="D16" s="336">
        <f>128918111-D13</f>
        <v>81308490</v>
      </c>
      <c r="E16" s="336">
        <f>127120363-E13</f>
        <v>80173027</v>
      </c>
      <c r="F16" s="336">
        <f>126398901-F13</f>
        <v>81594848</v>
      </c>
      <c r="G16" s="336">
        <f>137198675-G13</f>
        <v>82228400</v>
      </c>
      <c r="H16" s="336">
        <f>139945709.35-H13</f>
        <v>79445998.349999994</v>
      </c>
      <c r="I16" s="337">
        <f t="shared" ref="I16:I44" si="3">IFERROR(AVERAGE(G16:H16),0)</f>
        <v>80837199.174999997</v>
      </c>
      <c r="J16" s="419">
        <f t="shared" ref="J16:J44" si="4">I16/J$5</f>
        <v>12.508913066315751</v>
      </c>
      <c r="K16" s="194"/>
      <c r="AQ16" s="363" t="s">
        <v>103</v>
      </c>
      <c r="AR16" s="364">
        <v>3730907</v>
      </c>
      <c r="AS16" s="364">
        <v>2356997</v>
      </c>
      <c r="AT16" s="364">
        <v>2911108</v>
      </c>
      <c r="AU16" s="365">
        <f>AVERAGE(AR16:AT16)</f>
        <v>2999670.6666666665</v>
      </c>
    </row>
    <row r="17" spans="1:47" ht="13.8" x14ac:dyDescent="0.25">
      <c r="A17" s="319"/>
      <c r="B17" s="358"/>
      <c r="C17" s="320"/>
      <c r="D17" s="320"/>
      <c r="E17" s="320"/>
      <c r="F17" s="320"/>
      <c r="G17" s="320"/>
      <c r="H17" s="320"/>
      <c r="I17" s="338">
        <f t="shared" si="3"/>
        <v>0</v>
      </c>
      <c r="J17" s="420">
        <f t="shared" si="4"/>
        <v>0</v>
      </c>
      <c r="K17" s="194"/>
      <c r="AQ17" s="363"/>
      <c r="AR17" s="364"/>
      <c r="AS17" s="364"/>
      <c r="AT17" s="364"/>
      <c r="AU17" s="365"/>
    </row>
    <row r="18" spans="1:47" ht="13.8" x14ac:dyDescent="0.25">
      <c r="A18" s="319"/>
      <c r="B18" s="368" t="s">
        <v>104</v>
      </c>
      <c r="C18" s="321"/>
      <c r="D18" s="321"/>
      <c r="E18" s="321"/>
      <c r="F18" s="321"/>
      <c r="G18" s="321"/>
      <c r="H18" s="321"/>
      <c r="I18" s="338">
        <f t="shared" si="3"/>
        <v>0</v>
      </c>
      <c r="J18" s="420">
        <f t="shared" si="4"/>
        <v>0</v>
      </c>
      <c r="K18" s="194"/>
      <c r="AQ18" s="363"/>
      <c r="AR18" s="364"/>
      <c r="AS18" s="364"/>
      <c r="AT18" s="364"/>
      <c r="AU18" s="365"/>
    </row>
    <row r="19" spans="1:47" ht="13.8" x14ac:dyDescent="0.25">
      <c r="A19" s="358" t="s">
        <v>297</v>
      </c>
      <c r="B19" s="410" t="s">
        <v>105</v>
      </c>
      <c r="C19" s="411">
        <v>3022366.0500000003</v>
      </c>
      <c r="D19" s="411">
        <v>3022366.0500000003</v>
      </c>
      <c r="E19" s="411">
        <v>1042959.6</v>
      </c>
      <c r="F19" s="411">
        <v>3075213.06</v>
      </c>
      <c r="G19" s="411">
        <v>772707.99599999993</v>
      </c>
      <c r="H19" s="411">
        <v>1723624.2</v>
      </c>
      <c r="I19" s="412">
        <f t="shared" si="3"/>
        <v>1248166.098</v>
      </c>
      <c r="J19" s="421">
        <f t="shared" si="4"/>
        <v>0.19314376761624791</v>
      </c>
      <c r="K19" s="194"/>
      <c r="AQ19" s="363"/>
      <c r="AR19" s="364"/>
      <c r="AS19" s="364"/>
      <c r="AT19" s="364"/>
      <c r="AU19" s="365"/>
    </row>
    <row r="20" spans="1:47" ht="13.8" x14ac:dyDescent="0.25">
      <c r="A20" s="358" t="s">
        <v>292</v>
      </c>
      <c r="B20" s="416" t="s">
        <v>106</v>
      </c>
      <c r="C20" s="417">
        <v>16337039.4</v>
      </c>
      <c r="D20" s="417">
        <v>20894599.800000001</v>
      </c>
      <c r="E20" s="417">
        <v>17610910.309</v>
      </c>
      <c r="F20" s="417">
        <v>21117289.350000001</v>
      </c>
      <c r="G20" s="417">
        <v>21857447.699999999</v>
      </c>
      <c r="H20" s="417">
        <v>24110002.100000001</v>
      </c>
      <c r="I20" s="418">
        <f t="shared" si="3"/>
        <v>22983724.899999999</v>
      </c>
      <c r="J20" s="422">
        <f t="shared" si="4"/>
        <v>3.556548465908878</v>
      </c>
      <c r="K20" s="194"/>
      <c r="AQ20" s="363"/>
      <c r="AR20" s="364"/>
      <c r="AS20" s="364"/>
      <c r="AT20" s="364"/>
      <c r="AU20" s="365"/>
    </row>
    <row r="21" spans="1:47" ht="13.8" x14ac:dyDescent="0.25">
      <c r="A21" s="319" t="s">
        <v>147</v>
      </c>
      <c r="B21" s="358" t="s">
        <v>107</v>
      </c>
      <c r="C21" s="320">
        <v>9908325</v>
      </c>
      <c r="D21" s="320">
        <v>9908325</v>
      </c>
      <c r="E21" s="320">
        <v>10268325</v>
      </c>
      <c r="F21" s="320">
        <v>9908325</v>
      </c>
      <c r="G21" s="320">
        <v>10268325</v>
      </c>
      <c r="H21" s="320">
        <v>12260025</v>
      </c>
      <c r="I21" s="338">
        <f t="shared" si="3"/>
        <v>11264175</v>
      </c>
      <c r="J21" s="420">
        <f t="shared" si="4"/>
        <v>1.7430414125770859</v>
      </c>
      <c r="K21" s="194"/>
      <c r="AQ21" s="363"/>
      <c r="AR21" s="364"/>
      <c r="AS21" s="364"/>
      <c r="AT21" s="364"/>
      <c r="AU21" s="365"/>
    </row>
    <row r="22" spans="1:47" ht="13.8" x14ac:dyDescent="0.25">
      <c r="A22" s="319" t="s">
        <v>265</v>
      </c>
      <c r="B22" s="407" t="s">
        <v>108</v>
      </c>
      <c r="C22" s="408">
        <v>6894145.7999999998</v>
      </c>
      <c r="D22" s="408">
        <v>6841152.9000000004</v>
      </c>
      <c r="E22" s="408">
        <v>6852029.4000000004</v>
      </c>
      <c r="F22" s="408">
        <v>6797089.7999999998</v>
      </c>
      <c r="G22" s="408">
        <v>6838803.9000000004</v>
      </c>
      <c r="H22" s="408">
        <v>6791195.6280000005</v>
      </c>
      <c r="I22" s="409">
        <f t="shared" si="3"/>
        <v>6814999.7640000004</v>
      </c>
      <c r="J22" s="423">
        <f t="shared" si="4"/>
        <v>1.0545669625476404</v>
      </c>
      <c r="K22" s="194"/>
      <c r="AQ22" s="363"/>
      <c r="AR22" s="364"/>
      <c r="AS22" s="364"/>
      <c r="AT22" s="364"/>
      <c r="AU22" s="365"/>
    </row>
    <row r="23" spans="1:47" ht="13.8" x14ac:dyDescent="0.25">
      <c r="A23" s="368"/>
      <c r="B23" s="368"/>
      <c r="C23" s="321"/>
      <c r="D23" s="321"/>
      <c r="E23" s="321"/>
      <c r="F23" s="321"/>
      <c r="G23" s="321"/>
      <c r="H23" s="321"/>
      <c r="I23" s="338">
        <f t="shared" si="3"/>
        <v>0</v>
      </c>
      <c r="J23" s="420">
        <f t="shared" si="4"/>
        <v>0</v>
      </c>
      <c r="K23" s="194"/>
      <c r="AQ23" s="363"/>
      <c r="AR23" s="364"/>
      <c r="AS23" s="364"/>
      <c r="AT23" s="364"/>
      <c r="AU23" s="365"/>
    </row>
    <row r="24" spans="1:47" ht="13.8" x14ac:dyDescent="0.25">
      <c r="A24" s="319" t="s">
        <v>147</v>
      </c>
      <c r="B24" s="358" t="s">
        <v>109</v>
      </c>
      <c r="C24" s="320">
        <v>1100925</v>
      </c>
      <c r="D24" s="320">
        <v>1100925</v>
      </c>
      <c r="E24" s="320">
        <v>1140925</v>
      </c>
      <c r="F24" s="320">
        <v>1100925</v>
      </c>
      <c r="G24" s="320">
        <v>1140925</v>
      </c>
      <c r="H24" s="320">
        <v>1362225</v>
      </c>
      <c r="I24" s="338">
        <f t="shared" si="3"/>
        <v>1251575</v>
      </c>
      <c r="J24" s="420">
        <f t="shared" si="4"/>
        <v>0.19367126806412063</v>
      </c>
      <c r="K24" s="194"/>
      <c r="AQ24" s="363"/>
      <c r="AR24" s="364"/>
      <c r="AS24" s="364"/>
      <c r="AT24" s="364"/>
      <c r="AU24" s="365"/>
    </row>
    <row r="25" spans="1:47" ht="13.8" x14ac:dyDescent="0.25">
      <c r="A25" s="358" t="s">
        <v>297</v>
      </c>
      <c r="B25" s="410" t="s">
        <v>111</v>
      </c>
      <c r="C25" s="411">
        <v>297841.10000000003</v>
      </c>
      <c r="D25" s="411">
        <v>335818.45</v>
      </c>
      <c r="E25" s="411">
        <v>115884.40000000001</v>
      </c>
      <c r="F25" s="411">
        <v>341690.34</v>
      </c>
      <c r="G25" s="411">
        <v>85856.444000000003</v>
      </c>
      <c r="H25" s="411">
        <v>191513.80000000002</v>
      </c>
      <c r="I25" s="412">
        <f t="shared" si="3"/>
        <v>138685.122</v>
      </c>
      <c r="J25" s="421">
        <f t="shared" si="4"/>
        <v>2.1460418624027547E-2</v>
      </c>
      <c r="K25" s="194"/>
      <c r="AQ25" s="363"/>
      <c r="AR25" s="364"/>
      <c r="AS25" s="364"/>
      <c r="AT25" s="364"/>
      <c r="AU25" s="365"/>
    </row>
    <row r="26" spans="1:47" ht="13.8" x14ac:dyDescent="0.25">
      <c r="A26" s="358" t="s">
        <v>292</v>
      </c>
      <c r="B26" s="416" t="s">
        <v>112</v>
      </c>
      <c r="C26" s="417">
        <v>1815226.6</v>
      </c>
      <c r="D26" s="417">
        <v>2322049.8000000003</v>
      </c>
      <c r="E26" s="417">
        <v>1862984.7009999999</v>
      </c>
      <c r="F26" s="417">
        <v>2164807.4</v>
      </c>
      <c r="G26" s="417">
        <v>2428605.3000000003</v>
      </c>
      <c r="H26" s="417">
        <v>2649916.9000000004</v>
      </c>
      <c r="I26" s="418">
        <f t="shared" si="3"/>
        <v>2539261.1000000006</v>
      </c>
      <c r="J26" s="422">
        <f t="shared" si="4"/>
        <v>0.39293044139016359</v>
      </c>
      <c r="K26" s="194"/>
      <c r="AQ26" s="363"/>
      <c r="AR26" s="364"/>
      <c r="AS26" s="364"/>
      <c r="AT26" s="364"/>
      <c r="AU26" s="365"/>
    </row>
    <row r="27" spans="1:47" ht="13.8" x14ac:dyDescent="0.25">
      <c r="A27" s="319" t="s">
        <v>147</v>
      </c>
      <c r="B27" s="358" t="s">
        <v>293</v>
      </c>
      <c r="C27" s="320">
        <v>6911305.29</v>
      </c>
      <c r="D27" s="320">
        <v>5153138.82</v>
      </c>
      <c r="E27" s="320">
        <v>10052441.219999999</v>
      </c>
      <c r="F27" s="320">
        <v>5504482</v>
      </c>
      <c r="G27" s="320">
        <v>6818304.0099999998</v>
      </c>
      <c r="H27" s="320">
        <v>5177364</v>
      </c>
      <c r="I27" s="338">
        <f t="shared" si="3"/>
        <v>5997834.0049999999</v>
      </c>
      <c r="J27" s="420">
        <f t="shared" si="4"/>
        <v>0.92811706640549174</v>
      </c>
      <c r="K27" s="194"/>
      <c r="AQ27" s="363"/>
      <c r="AR27" s="364"/>
      <c r="AS27" s="364"/>
      <c r="AT27" s="364"/>
      <c r="AU27" s="365"/>
    </row>
    <row r="28" spans="1:47" ht="13.8" x14ac:dyDescent="0.25">
      <c r="A28" s="319" t="s">
        <v>147</v>
      </c>
      <c r="B28" s="358" t="s">
        <v>294</v>
      </c>
      <c r="C28" s="320"/>
      <c r="D28" s="320"/>
      <c r="E28" s="320"/>
      <c r="F28" s="320">
        <v>2568541</v>
      </c>
      <c r="G28" s="320">
        <v>3692636.33</v>
      </c>
      <c r="H28" s="320">
        <v>3575280.64</v>
      </c>
      <c r="I28" s="338">
        <f t="shared" si="3"/>
        <v>3633958.4850000003</v>
      </c>
      <c r="J28" s="420">
        <f t="shared" si="4"/>
        <v>0.56232614736018283</v>
      </c>
      <c r="K28" s="194"/>
      <c r="AQ28" s="363"/>
      <c r="AR28" s="364"/>
      <c r="AS28" s="364"/>
      <c r="AT28" s="364"/>
      <c r="AU28" s="365"/>
    </row>
    <row r="29" spans="1:47" ht="13.8" x14ac:dyDescent="0.25">
      <c r="A29" s="319" t="s">
        <v>147</v>
      </c>
      <c r="B29" s="358" t="s">
        <v>295</v>
      </c>
      <c r="C29" s="320"/>
      <c r="D29" s="320"/>
      <c r="E29" s="320"/>
      <c r="F29" s="320">
        <v>5309275</v>
      </c>
      <c r="G29" s="320">
        <v>1269000</v>
      </c>
      <c r="H29" s="320">
        <v>2902284</v>
      </c>
      <c r="I29" s="338">
        <f t="shared" si="3"/>
        <v>2085642</v>
      </c>
      <c r="J29" s="420">
        <f t="shared" si="4"/>
        <v>0.3227364967083784</v>
      </c>
      <c r="K29" s="194"/>
      <c r="AQ29" s="363"/>
      <c r="AR29" s="364"/>
      <c r="AS29" s="364"/>
      <c r="AT29" s="364"/>
      <c r="AU29" s="365"/>
    </row>
    <row r="30" spans="1:47" ht="13.8" x14ac:dyDescent="0.25">
      <c r="A30" s="319" t="s">
        <v>147</v>
      </c>
      <c r="B30" s="358" t="s">
        <v>113</v>
      </c>
      <c r="C30" s="320">
        <v>2301142</v>
      </c>
      <c r="D30" s="320">
        <v>2548486</v>
      </c>
      <c r="E30" s="320">
        <v>2796310</v>
      </c>
      <c r="F30" s="320">
        <v>1531767</v>
      </c>
      <c r="G30" s="320">
        <v>1328981</v>
      </c>
      <c r="H30" s="320">
        <v>1547789</v>
      </c>
      <c r="I30" s="338">
        <f t="shared" si="3"/>
        <v>1438385</v>
      </c>
      <c r="J30" s="420">
        <f t="shared" si="4"/>
        <v>0.22257862845966897</v>
      </c>
      <c r="K30" s="194"/>
      <c r="AQ30" s="363"/>
      <c r="AR30" s="364"/>
      <c r="AS30" s="364"/>
      <c r="AT30" s="364"/>
      <c r="AU30" s="365"/>
    </row>
    <row r="31" spans="1:47" ht="13.8" x14ac:dyDescent="0.25">
      <c r="A31" s="319" t="s">
        <v>147</v>
      </c>
      <c r="B31" s="358" t="s">
        <v>115</v>
      </c>
      <c r="C31" s="320">
        <v>-237765.98999999836</v>
      </c>
      <c r="D31" s="320">
        <v>5512909</v>
      </c>
      <c r="E31" s="320">
        <v>3893277</v>
      </c>
      <c r="F31" s="320">
        <v>2956490</v>
      </c>
      <c r="G31" s="320">
        <v>3663302.3699999992</v>
      </c>
      <c r="H31" s="320">
        <v>3158634</v>
      </c>
      <c r="I31" s="338">
        <f t="shared" si="3"/>
        <v>3410968.1849999996</v>
      </c>
      <c r="J31" s="420">
        <f t="shared" si="4"/>
        <v>0.52782017355358013</v>
      </c>
      <c r="K31" s="194"/>
      <c r="AQ31" s="363"/>
      <c r="AR31" s="364"/>
      <c r="AS31" s="364"/>
      <c r="AT31" s="364"/>
      <c r="AU31" s="365"/>
    </row>
    <row r="32" spans="1:47" ht="13.8" x14ac:dyDescent="0.25">
      <c r="A32" s="319" t="s">
        <v>147</v>
      </c>
      <c r="B32" s="358" t="s">
        <v>296</v>
      </c>
      <c r="C32" s="320">
        <v>2438000</v>
      </c>
      <c r="D32" s="320">
        <v>1820454</v>
      </c>
      <c r="E32" s="320">
        <v>3336809.99</v>
      </c>
      <c r="F32" s="320">
        <v>2637527</v>
      </c>
      <c r="G32" s="320">
        <v>2881212.01</v>
      </c>
      <c r="H32" s="320">
        <v>2460613</v>
      </c>
      <c r="I32" s="338">
        <f t="shared" si="3"/>
        <v>2670912.5049999999</v>
      </c>
      <c r="J32" s="420">
        <f t="shared" si="4"/>
        <v>0.41330244830047497</v>
      </c>
      <c r="K32" s="194"/>
      <c r="AQ32" s="363"/>
      <c r="AR32" s="364"/>
      <c r="AS32" s="364"/>
      <c r="AT32" s="364"/>
      <c r="AU32" s="365"/>
    </row>
    <row r="33" spans="1:47" ht="13.8" x14ac:dyDescent="0.25">
      <c r="A33" s="319" t="s">
        <v>147</v>
      </c>
      <c r="B33" s="358" t="s">
        <v>116</v>
      </c>
      <c r="C33" s="320"/>
      <c r="D33" s="320"/>
      <c r="E33" s="320"/>
      <c r="F33" s="320"/>
      <c r="G33" s="320"/>
      <c r="H33" s="320"/>
      <c r="I33" s="338">
        <f t="shared" si="3"/>
        <v>0</v>
      </c>
      <c r="J33" s="420">
        <f t="shared" si="4"/>
        <v>0</v>
      </c>
      <c r="K33" s="194"/>
      <c r="AQ33" s="363"/>
      <c r="AR33" s="364"/>
      <c r="AS33" s="364"/>
      <c r="AT33" s="364"/>
      <c r="AU33" s="365"/>
    </row>
    <row r="34" spans="1:47" ht="13.8" x14ac:dyDescent="0.25">
      <c r="A34" s="319" t="s">
        <v>147</v>
      </c>
      <c r="B34" s="413" t="s">
        <v>117</v>
      </c>
      <c r="C34" s="414">
        <v>5470308</v>
      </c>
      <c r="D34" s="414">
        <v>3842211</v>
      </c>
      <c r="E34" s="414">
        <v>5074045</v>
      </c>
      <c r="F34" s="414">
        <v>5888985</v>
      </c>
      <c r="G34" s="414">
        <v>4255840</v>
      </c>
      <c r="H34" s="414">
        <v>4834034</v>
      </c>
      <c r="I34" s="415">
        <f t="shared" si="3"/>
        <v>4544937</v>
      </c>
      <c r="J34" s="424">
        <f t="shared" si="4"/>
        <v>0.70329282069515631</v>
      </c>
      <c r="K34" s="194"/>
      <c r="AQ34" s="363"/>
      <c r="AR34" s="364"/>
      <c r="AS34" s="364"/>
      <c r="AT34" s="364"/>
      <c r="AU34" s="365"/>
    </row>
    <row r="35" spans="1:47" ht="13.8" x14ac:dyDescent="0.25">
      <c r="A35" s="319" t="s">
        <v>147</v>
      </c>
      <c r="B35" s="358" t="s">
        <v>121</v>
      </c>
      <c r="C35" s="320">
        <v>324795</v>
      </c>
      <c r="D35" s="320">
        <v>4287477</v>
      </c>
      <c r="E35" s="320">
        <v>3249370</v>
      </c>
      <c r="F35" s="320">
        <v>3723791</v>
      </c>
      <c r="G35" s="320">
        <v>3839552</v>
      </c>
      <c r="H35" s="320">
        <v>4417631</v>
      </c>
      <c r="I35" s="338">
        <f t="shared" si="3"/>
        <v>4128591.5</v>
      </c>
      <c r="J35" s="420">
        <f t="shared" si="4"/>
        <v>0.63886666889619081</v>
      </c>
      <c r="K35" s="194"/>
      <c r="AQ35" s="363"/>
      <c r="AR35" s="364"/>
      <c r="AS35" s="364"/>
      <c r="AT35" s="364"/>
      <c r="AU35" s="365"/>
    </row>
    <row r="36" spans="1:47" ht="13.8" x14ac:dyDescent="0.25">
      <c r="A36" s="319" t="s">
        <v>265</v>
      </c>
      <c r="B36" s="407" t="s">
        <v>118</v>
      </c>
      <c r="C36" s="408">
        <v>766016.20000000007</v>
      </c>
      <c r="D36" s="408">
        <v>760128.10000000009</v>
      </c>
      <c r="E36" s="408">
        <v>761336.60000000009</v>
      </c>
      <c r="F36" s="408">
        <v>755232.20000000007</v>
      </c>
      <c r="G36" s="408">
        <v>759867.10000000009</v>
      </c>
      <c r="H36" s="408">
        <v>754577.29200000002</v>
      </c>
      <c r="I36" s="409">
        <f t="shared" si="3"/>
        <v>757222.196</v>
      </c>
      <c r="J36" s="423">
        <f t="shared" si="4"/>
        <v>0.11717410694973782</v>
      </c>
      <c r="K36" s="194"/>
      <c r="AQ36" s="363"/>
      <c r="AR36" s="364"/>
      <c r="AS36" s="364"/>
      <c r="AT36" s="364"/>
      <c r="AU36" s="365"/>
    </row>
    <row r="37" spans="1:47" ht="13.8" x14ac:dyDescent="0.25">
      <c r="A37" s="319" t="s">
        <v>147</v>
      </c>
      <c r="B37" s="358" t="s">
        <v>119</v>
      </c>
      <c r="C37" s="320">
        <v>924405</v>
      </c>
      <c r="D37" s="320">
        <v>564460</v>
      </c>
      <c r="E37" s="320">
        <v>796157</v>
      </c>
      <c r="F37" s="320">
        <v>574518.01</v>
      </c>
      <c r="G37" s="320">
        <v>1483200</v>
      </c>
      <c r="H37" s="320">
        <v>1458954</v>
      </c>
      <c r="I37" s="338">
        <f t="shared" si="3"/>
        <v>1471077</v>
      </c>
      <c r="J37" s="420">
        <f t="shared" si="4"/>
        <v>0.22763745521439979</v>
      </c>
      <c r="K37" s="194"/>
      <c r="AQ37" s="363"/>
      <c r="AR37" s="364"/>
      <c r="AS37" s="364"/>
      <c r="AT37" s="364"/>
      <c r="AU37" s="365"/>
    </row>
    <row r="38" spans="1:47" ht="13.8" x14ac:dyDescent="0.25">
      <c r="A38" s="319" t="s">
        <v>147</v>
      </c>
      <c r="B38" s="358" t="s">
        <v>126</v>
      </c>
      <c r="C38" s="320">
        <v>218913.7</v>
      </c>
      <c r="D38" s="320">
        <v>1397836.81</v>
      </c>
      <c r="E38" s="320">
        <v>868501.2</v>
      </c>
      <c r="F38" s="320">
        <v>1542399.48</v>
      </c>
      <c r="G38" s="320">
        <v>694687.8600000001</v>
      </c>
      <c r="H38" s="320">
        <v>1271047.6499999999</v>
      </c>
      <c r="I38" s="338">
        <f t="shared" si="3"/>
        <v>982867.755</v>
      </c>
      <c r="J38" s="420">
        <f t="shared" si="4"/>
        <v>0.15209096094935218</v>
      </c>
      <c r="K38" s="194"/>
      <c r="AQ38" s="363"/>
      <c r="AR38" s="364"/>
      <c r="AS38" s="364"/>
      <c r="AT38" s="364"/>
      <c r="AU38" s="365"/>
    </row>
    <row r="39" spans="1:47" ht="13.8" x14ac:dyDescent="0.25">
      <c r="A39" s="319" t="s">
        <v>147</v>
      </c>
      <c r="B39" s="358" t="s">
        <v>122</v>
      </c>
      <c r="C39" s="320"/>
      <c r="D39" s="320"/>
      <c r="E39" s="320"/>
      <c r="F39" s="320"/>
      <c r="G39" s="320"/>
      <c r="H39" s="320"/>
      <c r="I39" s="338">
        <f t="shared" si="3"/>
        <v>0</v>
      </c>
      <c r="J39" s="420">
        <f t="shared" si="4"/>
        <v>0</v>
      </c>
      <c r="K39" s="194"/>
      <c r="AQ39" s="363"/>
      <c r="AR39" s="364"/>
      <c r="AS39" s="364"/>
      <c r="AT39" s="364"/>
      <c r="AU39" s="365"/>
    </row>
    <row r="40" spans="1:47" ht="13.8" x14ac:dyDescent="0.25">
      <c r="A40" s="319" t="s">
        <v>147</v>
      </c>
      <c r="B40" s="358" t="s">
        <v>123</v>
      </c>
      <c r="C40" s="320">
        <v>1568876.9999999993</v>
      </c>
      <c r="D40" s="320">
        <v>2813033</v>
      </c>
      <c r="E40" s="320">
        <v>3631179.9999999991</v>
      </c>
      <c r="F40" s="320">
        <v>1825585</v>
      </c>
      <c r="G40" s="320">
        <v>384499.99999999907</v>
      </c>
      <c r="H40" s="320">
        <v>1516879</v>
      </c>
      <c r="I40" s="338">
        <f t="shared" si="3"/>
        <v>950689.49999999953</v>
      </c>
      <c r="J40" s="420">
        <f t="shared" si="4"/>
        <v>0.14711163214369474</v>
      </c>
      <c r="K40" s="194"/>
      <c r="AQ40" s="363"/>
      <c r="AR40" s="364"/>
      <c r="AS40" s="364"/>
      <c r="AT40" s="364"/>
      <c r="AU40" s="365"/>
    </row>
    <row r="41" spans="1:47" ht="13.8" x14ac:dyDescent="0.25">
      <c r="A41" s="358" t="s">
        <v>297</v>
      </c>
      <c r="B41" s="410" t="s">
        <v>266</v>
      </c>
      <c r="C41" s="411">
        <v>9315347</v>
      </c>
      <c r="D41" s="411">
        <v>8194931.9900000002</v>
      </c>
      <c r="E41" s="411">
        <v>4459707</v>
      </c>
      <c r="F41" s="411">
        <v>6239504</v>
      </c>
      <c r="G41" s="411">
        <v>4966267</v>
      </c>
      <c r="H41" s="411">
        <v>7084917</v>
      </c>
      <c r="I41" s="412">
        <f t="shared" si="3"/>
        <v>6025592</v>
      </c>
      <c r="J41" s="421">
        <f t="shared" si="4"/>
        <v>0.93241239516371044</v>
      </c>
      <c r="K41" s="194"/>
      <c r="AQ41" s="363"/>
      <c r="AR41" s="364"/>
      <c r="AS41" s="364"/>
      <c r="AT41" s="364"/>
      <c r="AU41" s="365"/>
    </row>
    <row r="42" spans="1:47" ht="13.8" x14ac:dyDescent="0.25">
      <c r="A42" s="319" t="s">
        <v>147</v>
      </c>
      <c r="B42" s="358" t="s">
        <v>120</v>
      </c>
      <c r="C42" s="320">
        <v>11050</v>
      </c>
      <c r="D42" s="320">
        <v>21700</v>
      </c>
      <c r="E42" s="320">
        <v>19000</v>
      </c>
      <c r="F42" s="320">
        <v>258150</v>
      </c>
      <c r="G42" s="320">
        <v>33100</v>
      </c>
      <c r="H42" s="320">
        <v>255550</v>
      </c>
      <c r="I42" s="338">
        <f t="shared" si="3"/>
        <v>144325</v>
      </c>
      <c r="J42" s="420">
        <f t="shared" si="4"/>
        <v>2.2333144848174669E-2</v>
      </c>
      <c r="K42" s="194"/>
      <c r="AQ42" s="363"/>
      <c r="AR42" s="364"/>
      <c r="AS42" s="364"/>
      <c r="AT42" s="364"/>
      <c r="AU42" s="365"/>
    </row>
    <row r="43" spans="1:47" ht="13.8" x14ac:dyDescent="0.25">
      <c r="A43" s="319" t="s">
        <v>147</v>
      </c>
      <c r="B43" s="358" t="s">
        <v>114</v>
      </c>
      <c r="C43" s="320">
        <v>527200</v>
      </c>
      <c r="D43" s="320">
        <v>126542</v>
      </c>
      <c r="E43" s="320">
        <v>715487</v>
      </c>
      <c r="F43" s="320">
        <v>715251</v>
      </c>
      <c r="G43" s="320">
        <v>624878</v>
      </c>
      <c r="H43" s="320">
        <v>155930</v>
      </c>
      <c r="I43" s="338">
        <f t="shared" si="3"/>
        <v>390404</v>
      </c>
      <c r="J43" s="420">
        <f t="shared" si="4"/>
        <v>6.0411911181754957E-2</v>
      </c>
      <c r="K43" s="194"/>
      <c r="AQ43" s="363"/>
      <c r="AR43" s="369"/>
      <c r="AS43" s="369"/>
      <c r="AT43" s="369"/>
      <c r="AU43" s="369"/>
    </row>
    <row r="44" spans="1:47" ht="13.8" x14ac:dyDescent="0.25">
      <c r="A44" s="319" t="s">
        <v>147</v>
      </c>
      <c r="B44" s="358" t="s">
        <v>110</v>
      </c>
      <c r="C44" s="320">
        <v>17000</v>
      </c>
      <c r="D44" s="320">
        <v>16050</v>
      </c>
      <c r="E44" s="320">
        <v>0</v>
      </c>
      <c r="F44" s="320">
        <v>2000</v>
      </c>
      <c r="G44" s="320">
        <v>20600</v>
      </c>
      <c r="H44" s="320">
        <v>21400</v>
      </c>
      <c r="I44" s="338">
        <f t="shared" si="3"/>
        <v>21000</v>
      </c>
      <c r="J44" s="420">
        <f t="shared" si="4"/>
        <v>3.2495828291125451E-3</v>
      </c>
      <c r="K44" s="194"/>
      <c r="AQ44" s="363"/>
      <c r="AR44" s="369"/>
      <c r="AS44" s="369"/>
      <c r="AT44" s="369"/>
      <c r="AU44" s="369"/>
    </row>
    <row r="45" spans="1:47" s="343" customFormat="1" ht="19.2" customHeight="1" x14ac:dyDescent="0.25">
      <c r="A45" s="322"/>
      <c r="B45" s="340"/>
      <c r="C45" s="341"/>
      <c r="D45" s="341"/>
      <c r="E45" s="341"/>
      <c r="F45" s="341"/>
      <c r="G45" s="341"/>
      <c r="H45" s="341"/>
      <c r="I45" s="342"/>
      <c r="J45" s="425"/>
      <c r="K45" s="323"/>
    </row>
    <row r="46" spans="1:47" s="356" customFormat="1" ht="22.2" customHeight="1" thickBot="1" x14ac:dyDescent="0.3">
      <c r="A46" s="370"/>
      <c r="B46" s="371" t="s">
        <v>124</v>
      </c>
      <c r="C46" s="372">
        <f>SUM(C16:C45)</f>
        <v>148431470.14999998</v>
      </c>
      <c r="D46" s="372">
        <f>SUM(D16:D45)</f>
        <v>162793084.72</v>
      </c>
      <c r="E46" s="372">
        <f t="shared" ref="E46:H46" si="5">SUM(E16:E45)</f>
        <v>158720667.41999999</v>
      </c>
      <c r="F46" s="372">
        <f t="shared" si="5"/>
        <v>168133685.63999996</v>
      </c>
      <c r="G46" s="399">
        <f t="shared" si="5"/>
        <v>162336999.02000004</v>
      </c>
      <c r="H46" s="399">
        <f t="shared" si="5"/>
        <v>169127385.56</v>
      </c>
      <c r="I46" s="400">
        <f t="shared" ref="I46:J46" si="6">SUM(I16:I45)</f>
        <v>165732192.28999999</v>
      </c>
      <c r="J46" s="401">
        <f t="shared" si="6"/>
        <v>25.645737442702973</v>
      </c>
      <c r="K46" s="195"/>
    </row>
    <row r="47" spans="1:47" ht="14.4" thickTop="1" x14ac:dyDescent="0.25">
      <c r="A47" s="373"/>
      <c r="B47" s="347"/>
      <c r="C47" s="347"/>
      <c r="D47" s="347"/>
      <c r="E47" s="347"/>
      <c r="F47" s="347"/>
      <c r="G47" s="347"/>
      <c r="H47" s="347"/>
      <c r="I47" s="369"/>
      <c r="J47" s="347"/>
      <c r="K47" s="347"/>
    </row>
    <row r="49" spans="2:11" s="374" customFormat="1" ht="15.6" thickBot="1" x14ac:dyDescent="0.3">
      <c r="B49" s="374" t="s">
        <v>125</v>
      </c>
      <c r="C49" s="375">
        <f>C46+C13</f>
        <v>198111768.14999998</v>
      </c>
      <c r="D49" s="375">
        <f>D46+D13</f>
        <v>210402705.72</v>
      </c>
      <c r="E49" s="375">
        <f t="shared" ref="E49:H49" si="7">E46+E13</f>
        <v>205668003.41999999</v>
      </c>
      <c r="F49" s="375">
        <f t="shared" si="7"/>
        <v>212937738.63999996</v>
      </c>
      <c r="G49" s="402">
        <f t="shared" si="7"/>
        <v>217307274.02000004</v>
      </c>
      <c r="H49" s="402">
        <f t="shared" si="7"/>
        <v>229627096.56</v>
      </c>
      <c r="I49" s="402">
        <f t="shared" ref="I49" si="8">I46+I13</f>
        <v>223467185.28999999</v>
      </c>
      <c r="J49" s="403">
        <f>I49/J$5</f>
        <v>34.579768008975975</v>
      </c>
      <c r="K49" s="376"/>
    </row>
    <row r="50" spans="2:11" ht="13.8" hidden="1" thickTop="1" x14ac:dyDescent="0.25"/>
    <row r="51" spans="2:11" ht="13.8" hidden="1" thickTop="1" x14ac:dyDescent="0.25"/>
    <row r="52" spans="2:11" ht="13.8" hidden="1" thickTop="1" x14ac:dyDescent="0.25"/>
    <row r="53" spans="2:11" ht="14.4" hidden="1" thickTop="1" x14ac:dyDescent="0.25">
      <c r="B53" s="358" t="s">
        <v>126</v>
      </c>
      <c r="C53" s="358"/>
      <c r="D53" s="358"/>
      <c r="E53" s="358"/>
      <c r="F53" s="358"/>
      <c r="G53" s="358"/>
      <c r="H53" s="358"/>
      <c r="I53" s="338" t="e">
        <f>AVERAGE(#REF!)</f>
        <v>#REF!</v>
      </c>
      <c r="J53" s="339" t="e">
        <f>I53/$I$5</f>
        <v>#REF!</v>
      </c>
      <c r="K53" s="194"/>
    </row>
    <row r="54" spans="2:11" ht="14.4" hidden="1" thickTop="1" x14ac:dyDescent="0.25">
      <c r="B54" s="358" t="s">
        <v>127</v>
      </c>
      <c r="C54" s="358"/>
      <c r="D54" s="358"/>
      <c r="E54" s="358"/>
      <c r="F54" s="358"/>
      <c r="G54" s="358"/>
      <c r="H54" s="358"/>
      <c r="I54" s="338" t="e">
        <f>AVERAGE(#REF!)</f>
        <v>#REF!</v>
      </c>
      <c r="J54" s="339" t="e">
        <f>I54/$I$5</f>
        <v>#REF!</v>
      </c>
      <c r="K54" s="194"/>
    </row>
    <row r="55" spans="2:11" ht="14.4" hidden="1" thickTop="1" x14ac:dyDescent="0.25">
      <c r="B55" s="358" t="s">
        <v>128</v>
      </c>
      <c r="C55" s="358"/>
      <c r="D55" s="358"/>
      <c r="E55" s="358"/>
      <c r="F55" s="358"/>
      <c r="G55" s="358"/>
      <c r="H55" s="358"/>
      <c r="I55" s="338" t="e">
        <f>AVERAGE(#REF!)</f>
        <v>#REF!</v>
      </c>
      <c r="J55" s="339" t="e">
        <f>I55/$I$5</f>
        <v>#REF!</v>
      </c>
      <c r="K55" s="194"/>
    </row>
    <row r="56" spans="2:11" ht="14.4" hidden="1" thickTop="1" x14ac:dyDescent="0.25">
      <c r="B56" s="358" t="s">
        <v>129</v>
      </c>
      <c r="C56" s="358"/>
      <c r="D56" s="358"/>
      <c r="E56" s="358"/>
      <c r="F56" s="358"/>
      <c r="G56" s="358"/>
      <c r="H56" s="358"/>
      <c r="I56" s="338" t="e">
        <f>AVERAGE(#REF!)</f>
        <v>#REF!</v>
      </c>
      <c r="J56" s="339" t="e">
        <f>I56/$I$5</f>
        <v>#REF!</v>
      </c>
      <c r="K56" s="194"/>
    </row>
    <row r="57" spans="2:11" ht="13.8" hidden="1" thickTop="1" x14ac:dyDescent="0.25"/>
    <row r="58" spans="2:11" ht="13.8" thickTop="1" x14ac:dyDescent="0.25">
      <c r="J58" s="344">
        <f>IF(Model!$D$6="Duer",(J49-J19-J20-J22-J25-J26-J36-J41-J16-J13),(J49-J19-J20-J22-J25-J26-J36-J41-J16-J13-J34))</f>
        <v>6.8685878181868212</v>
      </c>
    </row>
    <row r="59" spans="2:11" x14ac:dyDescent="0.25">
      <c r="J59" s="344"/>
    </row>
    <row r="60" spans="2:11" x14ac:dyDescent="0.25">
      <c r="J60" s="344"/>
    </row>
    <row r="61" spans="2:11" x14ac:dyDescent="0.25">
      <c r="I61" s="377"/>
      <c r="J61" s="377"/>
    </row>
    <row r="62" spans="2:11" x14ac:dyDescent="0.25">
      <c r="B62" s="404"/>
      <c r="C62" s="405"/>
      <c r="D62" s="405"/>
      <c r="E62" s="405"/>
      <c r="F62" s="405"/>
      <c r="G62" s="406" t="s">
        <v>305</v>
      </c>
      <c r="H62" s="406" t="s">
        <v>304</v>
      </c>
      <c r="I62" s="406" t="s">
        <v>301</v>
      </c>
    </row>
    <row r="63" spans="2:11" x14ac:dyDescent="0.25">
      <c r="B63" s="378"/>
      <c r="G63" s="378"/>
      <c r="H63" s="379"/>
      <c r="I63" s="379"/>
    </row>
    <row r="64" spans="2:11" ht="15" x14ac:dyDescent="0.25">
      <c r="B64" s="380" t="s">
        <v>302</v>
      </c>
      <c r="G64" s="345">
        <f>+I5</f>
        <v>6462367.9728560913</v>
      </c>
      <c r="H64" s="325">
        <v>6002880</v>
      </c>
      <c r="I64" s="325">
        <f>+G64-H64</f>
        <v>459487.97285609134</v>
      </c>
      <c r="J64" s="381"/>
    </row>
    <row r="65" spans="2:10" ht="15" x14ac:dyDescent="0.25">
      <c r="B65" s="380"/>
      <c r="G65" s="382"/>
      <c r="H65" s="383"/>
      <c r="I65" s="383"/>
      <c r="J65" s="381"/>
    </row>
    <row r="66" spans="2:10" ht="15" x14ac:dyDescent="0.25">
      <c r="B66" s="380" t="s">
        <v>298</v>
      </c>
      <c r="G66" s="324">
        <f>+J13</f>
        <v>8.934030566273</v>
      </c>
      <c r="H66" s="326">
        <v>7.4809231540459598</v>
      </c>
      <c r="I66" s="384">
        <f>+G66-H66</f>
        <v>1.4531074122270402</v>
      </c>
      <c r="J66" s="381"/>
    </row>
    <row r="67" spans="2:10" ht="15" x14ac:dyDescent="0.25">
      <c r="B67" s="380" t="s">
        <v>299</v>
      </c>
      <c r="G67" s="385">
        <f>J20+J26</f>
        <v>3.9494789072990417</v>
      </c>
      <c r="H67" s="326">
        <v>3</v>
      </c>
      <c r="I67" s="384">
        <f>+G67-H67</f>
        <v>0.94947890729904172</v>
      </c>
      <c r="J67" s="381"/>
    </row>
    <row r="68" spans="2:10" ht="15" x14ac:dyDescent="0.25">
      <c r="B68" s="380"/>
      <c r="G68" s="380"/>
      <c r="H68" s="326"/>
      <c r="I68" s="383"/>
      <c r="J68" s="381"/>
    </row>
    <row r="69" spans="2:10" ht="15" x14ac:dyDescent="0.25">
      <c r="B69" s="380" t="s">
        <v>34</v>
      </c>
      <c r="G69" s="385">
        <f>J16</f>
        <v>12.508913066315751</v>
      </c>
      <c r="H69" s="326">
        <v>12.810937809358274</v>
      </c>
      <c r="I69" s="384">
        <f>+G69-H69</f>
        <v>-0.30202474304252291</v>
      </c>
      <c r="J69" s="381"/>
    </row>
    <row r="70" spans="2:10" ht="15" x14ac:dyDescent="0.25">
      <c r="B70" s="380" t="s">
        <v>297</v>
      </c>
      <c r="G70" s="385">
        <f>+J19+J25+J41</f>
        <v>1.1470165814039859</v>
      </c>
      <c r="H70" s="326">
        <v>1.47</v>
      </c>
      <c r="I70" s="384">
        <f>+G70-H70</f>
        <v>-0.32298341859601409</v>
      </c>
      <c r="J70" s="381"/>
    </row>
    <row r="71" spans="2:10" ht="15" x14ac:dyDescent="0.25">
      <c r="B71" s="380" t="s">
        <v>300</v>
      </c>
      <c r="G71" s="385">
        <f>+J22+J36</f>
        <v>1.1717410694973782</v>
      </c>
      <c r="H71" s="326">
        <v>1.22</v>
      </c>
      <c r="I71" s="384">
        <f>+G71-H71</f>
        <v>-4.8258930502621755E-2</v>
      </c>
      <c r="J71" s="381"/>
    </row>
    <row r="72" spans="2:10" ht="15" x14ac:dyDescent="0.25">
      <c r="B72" s="380" t="s">
        <v>147</v>
      </c>
      <c r="G72" s="385">
        <f>J58</f>
        <v>6.8685878181868212</v>
      </c>
      <c r="H72" s="326">
        <v>8</v>
      </c>
      <c r="I72" s="384">
        <f>+G72-H72</f>
        <v>-1.1314121818131788</v>
      </c>
      <c r="J72" s="381"/>
    </row>
    <row r="73" spans="2:10" ht="15" x14ac:dyDescent="0.25">
      <c r="B73" s="380"/>
      <c r="G73" s="380"/>
      <c r="H73" s="383"/>
      <c r="I73" s="383"/>
      <c r="J73" s="381"/>
    </row>
    <row r="74" spans="2:10" ht="15.6" x14ac:dyDescent="0.3">
      <c r="B74" s="386" t="s">
        <v>303</v>
      </c>
      <c r="C74" s="387"/>
      <c r="D74" s="387"/>
      <c r="E74" s="387"/>
      <c r="F74" s="387"/>
      <c r="G74" s="388">
        <f>SUM(G66:G72)</f>
        <v>34.579768008975975</v>
      </c>
      <c r="H74" s="389">
        <f>SUM(H66:H72)</f>
        <v>33.98186096340423</v>
      </c>
      <c r="I74" s="389">
        <f>+G74-H74</f>
        <v>0.59790704557174479</v>
      </c>
      <c r="J74" s="381"/>
    </row>
    <row r="75" spans="2:10" ht="15" x14ac:dyDescent="0.25">
      <c r="B75" s="380"/>
      <c r="G75" s="324"/>
      <c r="H75" s="383"/>
      <c r="I75" s="384"/>
      <c r="J75" s="381"/>
    </row>
    <row r="76" spans="2:10" ht="15" x14ac:dyDescent="0.25">
      <c r="B76" s="390"/>
      <c r="G76" s="390"/>
      <c r="H76" s="391"/>
      <c r="I76" s="391"/>
      <c r="J76" s="381"/>
    </row>
  </sheetData>
  <mergeCells count="1">
    <mergeCell ref="B2:I2"/>
  </mergeCells>
  <pageMargins left="0.7" right="0.7" top="0.75" bottom="0.75" header="0.3" footer="0.3"/>
  <pageSetup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K19"/>
  <sheetViews>
    <sheetView workbookViewId="0">
      <selection activeCell="I21" sqref="I21"/>
    </sheetView>
  </sheetViews>
  <sheetFormatPr defaultRowHeight="13.2" x14ac:dyDescent="0.25"/>
  <cols>
    <col min="1" max="1" width="3.33203125" style="86" bestFit="1" customWidth="1"/>
    <col min="2" max="2" width="18.88671875" style="86" bestFit="1" customWidth="1"/>
    <col min="3" max="3" width="9.77734375" style="86" bestFit="1" customWidth="1"/>
    <col min="4" max="4" width="10.109375" style="86" bestFit="1" customWidth="1"/>
    <col min="5" max="5" width="13.77734375" style="86" bestFit="1" customWidth="1"/>
    <col min="6" max="6" width="11.109375" style="86" customWidth="1"/>
    <col min="7" max="7" width="12.5546875" style="86" bestFit="1" customWidth="1"/>
    <col min="8" max="8" width="13.109375" style="86" bestFit="1" customWidth="1"/>
    <col min="9" max="9" width="8.88671875" style="86"/>
    <col min="10" max="10" width="15.109375" style="86" bestFit="1" customWidth="1"/>
    <col min="11" max="11" width="10.33203125" style="86" bestFit="1" customWidth="1"/>
    <col min="12" max="12" width="23.77734375" style="86" customWidth="1"/>
    <col min="13" max="13" width="3.33203125" style="86" bestFit="1" customWidth="1"/>
    <col min="14" max="14" width="24.6640625" style="86" bestFit="1" customWidth="1"/>
    <col min="15" max="15" width="11.44140625" style="86" bestFit="1" customWidth="1"/>
    <col min="16" max="16" width="8.88671875" style="86"/>
    <col min="17" max="19" width="11.44140625" style="86" bestFit="1" customWidth="1"/>
    <col min="20" max="20" width="3.33203125" style="86" bestFit="1" customWidth="1"/>
    <col min="21" max="16384" width="8.88671875" style="86"/>
  </cols>
  <sheetData>
    <row r="3" spans="1:11" ht="27.6" x14ac:dyDescent="0.25">
      <c r="A3" s="98"/>
      <c r="B3" s="118" t="s">
        <v>274</v>
      </c>
      <c r="C3" s="118" t="s">
        <v>241</v>
      </c>
      <c r="D3" s="118" t="s">
        <v>267</v>
      </c>
      <c r="E3" s="118" t="s">
        <v>268</v>
      </c>
      <c r="F3" s="111" t="s">
        <v>269</v>
      </c>
      <c r="G3" s="118" t="s">
        <v>270</v>
      </c>
      <c r="H3" s="118" t="s">
        <v>24</v>
      </c>
      <c r="I3" s="118" t="s">
        <v>271</v>
      </c>
      <c r="J3" s="118" t="s">
        <v>20</v>
      </c>
      <c r="K3" s="118" t="s">
        <v>272</v>
      </c>
    </row>
    <row r="4" spans="1:11" ht="13.8" x14ac:dyDescent="0.25">
      <c r="B4" s="109" t="s">
        <v>132</v>
      </c>
      <c r="C4" s="99">
        <v>80000</v>
      </c>
      <c r="D4" s="112">
        <v>1232.5638346134238</v>
      </c>
      <c r="E4" s="113">
        <f>D4*C4</f>
        <v>98605106.769073904</v>
      </c>
      <c r="F4" s="112">
        <v>580</v>
      </c>
      <c r="G4" s="113">
        <f>F4*C4</f>
        <v>46400000</v>
      </c>
      <c r="H4" s="112">
        <v>26</v>
      </c>
      <c r="I4" s="114">
        <v>0.47</v>
      </c>
      <c r="J4" s="115">
        <f>G4+E4</f>
        <v>145005106.7690739</v>
      </c>
      <c r="K4" s="116">
        <f>J4/C4</f>
        <v>1812.5638346134238</v>
      </c>
    </row>
    <row r="5" spans="1:11" ht="13.8" x14ac:dyDescent="0.25">
      <c r="B5" s="109" t="s">
        <v>248</v>
      </c>
      <c r="C5" s="99">
        <v>50000</v>
      </c>
      <c r="D5" s="112">
        <v>515.46501582056828</v>
      </c>
      <c r="E5" s="113">
        <f>D5*C5</f>
        <v>25773250.791028414</v>
      </c>
      <c r="F5" s="112">
        <v>251</v>
      </c>
      <c r="G5" s="113">
        <f>F5*C5</f>
        <v>12550000</v>
      </c>
      <c r="H5" s="112">
        <v>18</v>
      </c>
      <c r="I5" s="114">
        <v>0.75</v>
      </c>
      <c r="J5" s="115">
        <f>G5+E5</f>
        <v>38323250.79102841</v>
      </c>
      <c r="K5" s="116">
        <f>J5/C5</f>
        <v>766.46501582056817</v>
      </c>
    </row>
    <row r="6" spans="1:11" ht="13.8" x14ac:dyDescent="0.25">
      <c r="B6" s="109" t="s">
        <v>273</v>
      </c>
      <c r="C6" s="99">
        <v>40000</v>
      </c>
      <c r="D6" s="112">
        <v>1030.9300316411368</v>
      </c>
      <c r="E6" s="113">
        <f>D6*C6</f>
        <v>41237201.265645474</v>
      </c>
      <c r="F6" s="112">
        <v>503</v>
      </c>
      <c r="G6" s="113">
        <f>F6*C6</f>
        <v>20120000</v>
      </c>
      <c r="H6" s="112">
        <v>24</v>
      </c>
      <c r="I6" s="114">
        <v>0.5</v>
      </c>
      <c r="J6" s="115">
        <f>G6+E6</f>
        <v>61357201.265645474</v>
      </c>
      <c r="K6" s="116">
        <f>J6/C6</f>
        <v>1533.9300316411368</v>
      </c>
    </row>
    <row r="7" spans="1:11" ht="13.8" x14ac:dyDescent="0.25">
      <c r="B7" s="110" t="s">
        <v>275</v>
      </c>
      <c r="C7" s="115">
        <f>SUM(C4:C6)</f>
        <v>170000</v>
      </c>
      <c r="D7" s="116">
        <f>SUMPRODUCT($D$4:$D$6,$C$4:$C$6)/$C$7</f>
        <v>974.2091695632223</v>
      </c>
      <c r="E7" s="115">
        <f>SUM(E4:E6)</f>
        <v>165615558.82574779</v>
      </c>
      <c r="F7" s="116">
        <f>SUMPRODUCT($F$4:$F$6,$C$4:$C$6)/$C$7</f>
        <v>465.11764705882354</v>
      </c>
      <c r="G7" s="115">
        <f>SUM(G4:G6)</f>
        <v>79070000</v>
      </c>
      <c r="H7" s="116">
        <f>SUMPRODUCT($H$4:$H$6,$C$4:$C$6)/$C$7</f>
        <v>23.176470588235293</v>
      </c>
      <c r="I7" s="117">
        <f>SUMPRODUCT($I$4:$I$6,$C$4:$C$6)/$C$7</f>
        <v>0.55941176470588239</v>
      </c>
      <c r="J7" s="115">
        <f>SUM(J4:J6)</f>
        <v>244685558.82574779</v>
      </c>
      <c r="K7" s="116">
        <f>SUMPRODUCT($K$4:$K$6,$C$4:$C$6)/$C$7</f>
        <v>1439.3268166220457</v>
      </c>
    </row>
    <row r="8" spans="1:11" ht="13.8" x14ac:dyDescent="0.25">
      <c r="B8" s="109"/>
    </row>
    <row r="9" spans="1:11" x14ac:dyDescent="0.25">
      <c r="H9" s="98">
        <f>+H7*200000</f>
        <v>4635294.1176470583</v>
      </c>
      <c r="J9" s="98">
        <v>12000000</v>
      </c>
    </row>
    <row r="10" spans="1:11" x14ac:dyDescent="0.25">
      <c r="F10" s="96"/>
      <c r="J10" s="317">
        <v>200000000</v>
      </c>
    </row>
    <row r="11" spans="1:11" x14ac:dyDescent="0.25">
      <c r="F11" s="96"/>
      <c r="H11" s="96">
        <f>+J10/H9</f>
        <v>43.147208121827418</v>
      </c>
    </row>
    <row r="12" spans="1:11" x14ac:dyDescent="0.25">
      <c r="F12" s="96"/>
      <c r="H12" s="318">
        <f>+H11/278</f>
        <v>0.15520578461088999</v>
      </c>
    </row>
    <row r="19" ht="9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M24"/>
  <sheetViews>
    <sheetView workbookViewId="0">
      <selection activeCell="M12" sqref="M12"/>
    </sheetView>
  </sheetViews>
  <sheetFormatPr defaultRowHeight="13.2" x14ac:dyDescent="0.25"/>
  <cols>
    <col min="1" max="1" width="15" bestFit="1" customWidth="1"/>
    <col min="3" max="3" width="10.21875" bestFit="1" customWidth="1"/>
    <col min="5" max="5" width="13.88671875" bestFit="1" customWidth="1"/>
    <col min="7" max="7" width="12.77734375" bestFit="1" customWidth="1"/>
    <col min="9" max="9" width="14.21875" bestFit="1" customWidth="1"/>
    <col min="11" max="11" width="9.88671875" bestFit="1" customWidth="1"/>
    <col min="13" max="13" width="10.44140625" bestFit="1" customWidth="1"/>
  </cols>
  <sheetData>
    <row r="3" spans="1:13" x14ac:dyDescent="0.25">
      <c r="A3" s="20" t="s">
        <v>23</v>
      </c>
      <c r="C3" s="20" t="s">
        <v>157</v>
      </c>
      <c r="E3" s="20" t="s">
        <v>165</v>
      </c>
      <c r="G3" s="20" t="s">
        <v>177</v>
      </c>
      <c r="I3" s="20" t="s">
        <v>184</v>
      </c>
      <c r="K3" s="20" t="s">
        <v>154</v>
      </c>
      <c r="M3" s="20" t="s">
        <v>163</v>
      </c>
    </row>
    <row r="4" spans="1:13" x14ac:dyDescent="0.25">
      <c r="A4" s="19" t="s">
        <v>130</v>
      </c>
      <c r="C4" s="1" t="s">
        <v>185</v>
      </c>
      <c r="E4" s="1" t="s">
        <v>187</v>
      </c>
      <c r="G4" t="s">
        <v>62</v>
      </c>
      <c r="I4" s="1" t="s">
        <v>201</v>
      </c>
      <c r="K4" s="1" t="s">
        <v>155</v>
      </c>
      <c r="M4" s="1" t="s">
        <v>202</v>
      </c>
    </row>
    <row r="5" spans="1:13" x14ac:dyDescent="0.25">
      <c r="A5" s="14" t="s">
        <v>131</v>
      </c>
      <c r="C5" s="1" t="s">
        <v>186</v>
      </c>
      <c r="E5" s="1" t="s">
        <v>188</v>
      </c>
      <c r="G5" t="s">
        <v>63</v>
      </c>
      <c r="I5" s="1" t="s">
        <v>194</v>
      </c>
      <c r="K5" s="1" t="s">
        <v>195</v>
      </c>
      <c r="M5" t="s">
        <v>253</v>
      </c>
    </row>
    <row r="6" spans="1:13" x14ac:dyDescent="0.25">
      <c r="A6" s="19" t="s">
        <v>130</v>
      </c>
      <c r="E6" s="1" t="s">
        <v>11</v>
      </c>
      <c r="G6" t="s">
        <v>64</v>
      </c>
      <c r="M6" t="s">
        <v>254</v>
      </c>
    </row>
    <row r="7" spans="1:13" x14ac:dyDescent="0.25">
      <c r="A7" s="19" t="s">
        <v>132</v>
      </c>
      <c r="E7" s="1" t="s">
        <v>189</v>
      </c>
      <c r="G7" t="s">
        <v>65</v>
      </c>
      <c r="I7" s="20" t="s">
        <v>168</v>
      </c>
      <c r="K7" s="20" t="s">
        <v>172</v>
      </c>
      <c r="M7" t="s">
        <v>255</v>
      </c>
    </row>
    <row r="8" spans="1:13" x14ac:dyDescent="0.25">
      <c r="A8" s="14" t="s">
        <v>4</v>
      </c>
      <c r="E8" s="1" t="s">
        <v>16</v>
      </c>
      <c r="G8" t="s">
        <v>66</v>
      </c>
      <c r="I8" s="1" t="s">
        <v>169</v>
      </c>
      <c r="K8" s="1" t="s">
        <v>173</v>
      </c>
      <c r="M8" t="s">
        <v>256</v>
      </c>
    </row>
    <row r="9" spans="1:13" x14ac:dyDescent="0.25">
      <c r="A9" s="14" t="s">
        <v>10</v>
      </c>
      <c r="E9" s="1" t="s">
        <v>191</v>
      </c>
      <c r="G9" t="s">
        <v>67</v>
      </c>
      <c r="I9" s="1" t="s">
        <v>196</v>
      </c>
      <c r="K9" s="1" t="s">
        <v>197</v>
      </c>
      <c r="M9" s="1" t="s">
        <v>252</v>
      </c>
    </row>
    <row r="10" spans="1:13" x14ac:dyDescent="0.25">
      <c r="A10" s="14" t="s">
        <v>133</v>
      </c>
      <c r="E10" s="1" t="s">
        <v>192</v>
      </c>
      <c r="G10" t="s">
        <v>68</v>
      </c>
      <c r="K10" s="1" t="s">
        <v>198</v>
      </c>
      <c r="M10" t="s">
        <v>257</v>
      </c>
    </row>
    <row r="11" spans="1:13" x14ac:dyDescent="0.25">
      <c r="A11" s="14" t="s">
        <v>134</v>
      </c>
      <c r="E11" s="1" t="s">
        <v>190</v>
      </c>
      <c r="G11" t="s">
        <v>69</v>
      </c>
      <c r="I11" s="20" t="s">
        <v>178</v>
      </c>
      <c r="K11" s="1" t="s">
        <v>199</v>
      </c>
      <c r="M11" t="s">
        <v>258</v>
      </c>
    </row>
    <row r="12" spans="1:13" x14ac:dyDescent="0.25">
      <c r="A12" s="14" t="s">
        <v>135</v>
      </c>
      <c r="G12" t="s">
        <v>70</v>
      </c>
      <c r="I12" s="1" t="s">
        <v>179</v>
      </c>
      <c r="M12" s="1" t="s">
        <v>203</v>
      </c>
    </row>
    <row r="13" spans="1:13" x14ac:dyDescent="0.25">
      <c r="A13" s="14" t="s">
        <v>136</v>
      </c>
      <c r="G13" t="s">
        <v>71</v>
      </c>
      <c r="I13" s="1" t="s">
        <v>200</v>
      </c>
    </row>
    <row r="14" spans="1:13" x14ac:dyDescent="0.25">
      <c r="A14" s="14" t="s">
        <v>137</v>
      </c>
      <c r="G14" t="s">
        <v>72</v>
      </c>
    </row>
    <row r="15" spans="1:13" x14ac:dyDescent="0.25">
      <c r="A15" s="14" t="s">
        <v>138</v>
      </c>
      <c r="G15" t="s">
        <v>73</v>
      </c>
    </row>
    <row r="16" spans="1:13" x14ac:dyDescent="0.25">
      <c r="A16" s="14" t="s">
        <v>139</v>
      </c>
      <c r="G16" t="s">
        <v>74</v>
      </c>
    </row>
    <row r="17" spans="1:7" x14ac:dyDescent="0.25">
      <c r="A17" s="14" t="s">
        <v>140</v>
      </c>
      <c r="G17" t="s">
        <v>75</v>
      </c>
    </row>
    <row r="18" spans="1:7" x14ac:dyDescent="0.25">
      <c r="A18" s="14" t="s">
        <v>141</v>
      </c>
    </row>
    <row r="19" spans="1:7" x14ac:dyDescent="0.25">
      <c r="A19" s="14" t="s">
        <v>12</v>
      </c>
    </row>
    <row r="20" spans="1:7" x14ac:dyDescent="0.25">
      <c r="A20" s="19" t="s">
        <v>142</v>
      </c>
    </row>
    <row r="21" spans="1:7" x14ac:dyDescent="0.25">
      <c r="A21" s="14" t="s">
        <v>143</v>
      </c>
    </row>
    <row r="22" spans="1:7" x14ac:dyDescent="0.25">
      <c r="A22" s="14" t="s">
        <v>14</v>
      </c>
    </row>
    <row r="23" spans="1:7" x14ac:dyDescent="0.25">
      <c r="A23" s="14" t="s">
        <v>144</v>
      </c>
    </row>
    <row r="24" spans="1:7" x14ac:dyDescent="0.25">
      <c r="A24" s="14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2" tint="-0.499984740745262"/>
  </sheetPr>
  <dimension ref="A1:AH53"/>
  <sheetViews>
    <sheetView showGridLines="0" workbookViewId="0">
      <pane xSplit="1" ySplit="3" topLeftCell="B4" activePane="bottomRight" state="frozen"/>
      <selection activeCell="B24" sqref="B24:B28"/>
      <selection pane="topRight" activeCell="B24" sqref="B24:B28"/>
      <selection pane="bottomLeft" activeCell="B24" sqref="B24:B28"/>
      <selection pane="bottomRight" activeCell="B24" sqref="B24:B28"/>
    </sheetView>
  </sheetViews>
  <sheetFormatPr defaultRowHeight="13.2" x14ac:dyDescent="0.25"/>
  <cols>
    <col min="1" max="1" width="1.33203125" customWidth="1"/>
    <col min="2" max="2" width="15.21875" customWidth="1"/>
    <col min="3" max="3" width="16" bestFit="1" customWidth="1"/>
    <col min="4" max="4" width="14.33203125" bestFit="1" customWidth="1"/>
    <col min="5" max="5" width="12.6640625" bestFit="1" customWidth="1"/>
    <col min="6" max="6" width="9.44140625" bestFit="1" customWidth="1"/>
    <col min="7" max="7" width="10.21875" bestFit="1" customWidth="1"/>
    <col min="8" max="8" width="6.88671875" bestFit="1" customWidth="1"/>
    <col min="9" max="9" width="11.6640625" bestFit="1" customWidth="1"/>
    <col min="10" max="10" width="10.33203125" customWidth="1"/>
    <col min="11" max="11" width="6.88671875" bestFit="1" customWidth="1"/>
    <col min="12" max="12" width="9.6640625" customWidth="1"/>
    <col min="13" max="13" width="9.21875" bestFit="1" customWidth="1"/>
    <col min="14" max="14" width="22.109375" bestFit="1" customWidth="1"/>
    <col min="15" max="16" width="6.5546875" bestFit="1" customWidth="1"/>
    <col min="17" max="17" width="7.6640625" customWidth="1"/>
    <col min="18" max="18" width="22.44140625" bestFit="1" customWidth="1"/>
    <col min="19" max="19" width="6.6640625" bestFit="1" customWidth="1"/>
    <col min="20" max="20" width="12.109375" customWidth="1"/>
    <col min="21" max="21" width="9.77734375" customWidth="1"/>
    <col min="22" max="22" width="6.6640625" bestFit="1" customWidth="1"/>
    <col min="23" max="23" width="7.88671875" bestFit="1" customWidth="1"/>
    <col min="24" max="24" width="6.88671875" bestFit="1" customWidth="1"/>
    <col min="25" max="25" width="9" customWidth="1"/>
    <col min="26" max="26" width="8.21875" bestFit="1" customWidth="1"/>
    <col min="27" max="27" width="7.33203125" bestFit="1" customWidth="1"/>
    <col min="28" max="28" width="8.77734375" customWidth="1"/>
    <col min="29" max="29" width="7.21875" bestFit="1" customWidth="1"/>
    <col min="30" max="30" width="9" customWidth="1"/>
    <col min="31" max="31" width="8" bestFit="1" customWidth="1"/>
    <col min="32" max="32" width="7.5546875" bestFit="1" customWidth="1"/>
    <col min="33" max="33" width="9.33203125" customWidth="1"/>
    <col min="34" max="34" width="11.77734375" customWidth="1"/>
  </cols>
  <sheetData>
    <row r="1" spans="1:34" ht="19.2" customHeight="1" x14ac:dyDescent="0.25">
      <c r="B1" s="140"/>
    </row>
    <row r="2" spans="1:34" ht="19.2" customHeight="1" thickBot="1" x14ac:dyDescent="0.3">
      <c r="B2" s="140"/>
    </row>
    <row r="3" spans="1:34" ht="37.799999999999997" x14ac:dyDescent="0.25">
      <c r="A3" s="119"/>
      <c r="B3" s="120" t="s">
        <v>276</v>
      </c>
      <c r="C3" s="121" t="s">
        <v>277</v>
      </c>
      <c r="D3" s="121" t="s">
        <v>165</v>
      </c>
      <c r="E3" s="121" t="s">
        <v>278</v>
      </c>
      <c r="F3" s="122" t="s">
        <v>279</v>
      </c>
      <c r="G3" s="121" t="s">
        <v>2</v>
      </c>
      <c r="H3" s="121" t="s">
        <v>170</v>
      </c>
      <c r="I3" s="121" t="s">
        <v>181</v>
      </c>
      <c r="J3" s="122" t="s">
        <v>180</v>
      </c>
      <c r="K3" s="122" t="s">
        <v>35</v>
      </c>
      <c r="L3" s="122" t="s">
        <v>280</v>
      </c>
      <c r="M3" s="121" t="s">
        <v>32</v>
      </c>
      <c r="N3" s="122" t="s">
        <v>289</v>
      </c>
      <c r="O3" s="122" t="s">
        <v>281</v>
      </c>
      <c r="P3" s="122" t="s">
        <v>282</v>
      </c>
      <c r="Q3" s="122" t="s">
        <v>283</v>
      </c>
      <c r="R3" s="122" t="s">
        <v>290</v>
      </c>
      <c r="S3" s="122" t="s">
        <v>284</v>
      </c>
      <c r="T3" s="122" t="s">
        <v>285</v>
      </c>
      <c r="U3" s="122" t="s">
        <v>286</v>
      </c>
      <c r="V3" s="122" t="s">
        <v>234</v>
      </c>
      <c r="W3" s="122" t="s">
        <v>19</v>
      </c>
      <c r="X3" s="122" t="s">
        <v>89</v>
      </c>
      <c r="Y3" s="122" t="s">
        <v>27</v>
      </c>
      <c r="Z3" s="122" t="s">
        <v>287</v>
      </c>
      <c r="AA3" s="121" t="s">
        <v>145</v>
      </c>
      <c r="AB3" s="122" t="s">
        <v>288</v>
      </c>
      <c r="AC3" s="121" t="s">
        <v>13</v>
      </c>
      <c r="AD3" s="122" t="s">
        <v>156</v>
      </c>
      <c r="AE3" s="122" t="s">
        <v>152</v>
      </c>
      <c r="AF3" s="122" t="s">
        <v>160</v>
      </c>
      <c r="AG3" s="122" t="s">
        <v>164</v>
      </c>
      <c r="AH3" s="123" t="s">
        <v>166</v>
      </c>
    </row>
    <row r="4" spans="1:34" ht="18.600000000000001" customHeight="1" x14ac:dyDescent="0.25">
      <c r="B4" s="124" t="str">
        <f>Model!$D$8</f>
        <v>TR  298 VITA</v>
      </c>
      <c r="C4" s="125" t="str">
        <f>Model!$D$6</f>
        <v>Duer</v>
      </c>
      <c r="D4" s="125" t="str">
        <f>Model!$D$9</f>
        <v>Top Ware</v>
      </c>
      <c r="E4" s="125" t="str">
        <f>Model!$D$14</f>
        <v>Rinse</v>
      </c>
      <c r="F4" s="131">
        <f>Model!$D$11</f>
        <v>219</v>
      </c>
      <c r="G4" s="132" t="str">
        <f>Model!$D$10</f>
        <v>&lt;=500</v>
      </c>
      <c r="H4" s="131">
        <f>Model!$J$11</f>
        <v>28.47</v>
      </c>
      <c r="I4" s="133">
        <f>Model!$D$15</f>
        <v>4.1500000000000002E-2</v>
      </c>
      <c r="J4" s="133">
        <f>Model!$J$13</f>
        <v>0.47</v>
      </c>
      <c r="K4" s="130">
        <f>Model!$E$20</f>
        <v>22.9</v>
      </c>
      <c r="L4" s="130">
        <f>SUM(Model!$E$23:$E$28)+Model!$E$21</f>
        <v>1.0533999999999999</v>
      </c>
      <c r="M4" s="130">
        <f>Model!$E$29</f>
        <v>21.846599999999999</v>
      </c>
      <c r="N4" s="125" t="str">
        <f>Model!$J$20</f>
        <v>FVG0562 Black IAF-3605</v>
      </c>
      <c r="O4" s="130">
        <f>Model!$K$26</f>
        <v>1.35</v>
      </c>
      <c r="P4" s="130">
        <f>Model!$M$26</f>
        <v>3.6546762589928052</v>
      </c>
      <c r="Q4" s="130">
        <f>Model!$E$32</f>
        <v>4.9338129496402878</v>
      </c>
      <c r="R4" s="125" t="str">
        <f>Model!$J$28</f>
        <v>IAF-34663%4% 65:35 PC</v>
      </c>
      <c r="S4" s="130">
        <f>Model!$E$33</f>
        <v>7.7338129496402883E-2</v>
      </c>
      <c r="T4" s="130">
        <f>Model!$E$34</f>
        <v>8.2014388489208638</v>
      </c>
      <c r="U4" s="130">
        <f>Model!$E$35</f>
        <v>8.9928057553956831E-2</v>
      </c>
      <c r="V4" s="130">
        <f>Model!$E$36</f>
        <v>0</v>
      </c>
      <c r="W4" s="130">
        <f>Model!$E$37</f>
        <v>1.9466696021872976</v>
      </c>
      <c r="X4" s="130">
        <f>Model!$E$38</f>
        <v>0.97718068043004835</v>
      </c>
      <c r="Y4" s="130">
        <f>Model!$E$39</f>
        <v>0.67339428313149752</v>
      </c>
      <c r="Z4" s="130">
        <f>Q4+S4+T4+U4+V4+W4+X4+Y4</f>
        <v>16.899762551360354</v>
      </c>
      <c r="AA4" s="130">
        <f>Model!$E$42</f>
        <v>4.9468374486396449</v>
      </c>
      <c r="AB4" s="130">
        <f>Model!$E$50</f>
        <v>4.4891437086765293</v>
      </c>
      <c r="AC4" s="130">
        <f>Model!$E$53</f>
        <v>0.45769373996311863</v>
      </c>
      <c r="AD4" s="130">
        <f>Model!$J$6</f>
        <v>22.9</v>
      </c>
      <c r="AE4" s="130">
        <f>Model!$J$5</f>
        <v>25.357664746056319</v>
      </c>
      <c r="AF4" s="130">
        <f>Model!$J$7</f>
        <v>4.9468374486396449</v>
      </c>
      <c r="AG4" s="130">
        <f>Model!$J$8</f>
        <v>12.037166560229595</v>
      </c>
      <c r="AH4" s="134">
        <f>Model!$J$9</f>
        <v>8.1665388158083356</v>
      </c>
    </row>
    <row r="5" spans="1:34" ht="18.600000000000001" customHeight="1" x14ac:dyDescent="0.25">
      <c r="B5" s="124"/>
      <c r="C5" s="125"/>
      <c r="D5" s="125"/>
      <c r="E5" s="125"/>
      <c r="F5" s="131"/>
      <c r="G5" s="132"/>
      <c r="H5" s="131"/>
      <c r="I5" s="133"/>
      <c r="J5" s="133"/>
      <c r="K5" s="130"/>
      <c r="L5" s="130"/>
      <c r="M5" s="130"/>
      <c r="N5" s="125"/>
      <c r="O5" s="130"/>
      <c r="P5" s="130"/>
      <c r="Q5" s="130"/>
      <c r="R5" s="125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4"/>
    </row>
    <row r="6" spans="1:34" ht="18.600000000000001" customHeight="1" x14ac:dyDescent="0.25">
      <c r="B6" s="124" t="s">
        <v>162</v>
      </c>
      <c r="C6" s="125" t="s">
        <v>136</v>
      </c>
      <c r="D6" s="125" t="s">
        <v>189</v>
      </c>
      <c r="E6" s="125" t="s">
        <v>74</v>
      </c>
      <c r="F6" s="131">
        <v>2000</v>
      </c>
      <c r="G6" s="132" t="s">
        <v>48</v>
      </c>
      <c r="H6" s="131">
        <v>24</v>
      </c>
      <c r="I6" s="133">
        <v>3.15E-2</v>
      </c>
      <c r="J6" s="133">
        <v>0.5</v>
      </c>
      <c r="K6" s="130">
        <v>13.79</v>
      </c>
      <c r="L6" s="130">
        <v>0.55160000000000009</v>
      </c>
      <c r="M6" s="130">
        <v>13.2384</v>
      </c>
      <c r="N6" s="125" t="s">
        <v>238</v>
      </c>
      <c r="O6" s="130">
        <v>1.26</v>
      </c>
      <c r="P6" s="130">
        <v>3.62</v>
      </c>
      <c r="Q6" s="130">
        <v>4.5612000000000004</v>
      </c>
      <c r="R6" s="125" t="s">
        <v>240</v>
      </c>
      <c r="S6" s="130">
        <v>0.21909600000000001</v>
      </c>
      <c r="T6" s="130">
        <v>0.85</v>
      </c>
      <c r="U6" s="130">
        <v>0.323356890459364</v>
      </c>
      <c r="V6" s="130">
        <v>0</v>
      </c>
      <c r="W6" s="130">
        <v>1.2916701848712449</v>
      </c>
      <c r="X6" s="130">
        <v>0.51759430293602948</v>
      </c>
      <c r="Y6" s="130">
        <v>0.2445318974153991</v>
      </c>
      <c r="Z6" s="130">
        <v>8.0074492756820383</v>
      </c>
      <c r="AA6" s="130">
        <v>5.230950724317962</v>
      </c>
      <c r="AB6" s="130">
        <v>3.7083814087810674</v>
      </c>
      <c r="AC6" s="130">
        <v>1.5225693155368942</v>
      </c>
      <c r="AD6" s="130">
        <v>13.79</v>
      </c>
      <c r="AE6" s="130">
        <v>13.805801359873753</v>
      </c>
      <c r="AF6" s="130">
        <v>5.2309507243179603</v>
      </c>
      <c r="AG6" s="130">
        <v>10.929416728743258</v>
      </c>
      <c r="AH6" s="134">
        <v>10.89781400899575</v>
      </c>
    </row>
    <row r="7" spans="1:34" ht="18.600000000000001" customHeight="1" x14ac:dyDescent="0.25">
      <c r="B7" s="124"/>
      <c r="C7" s="125"/>
      <c r="D7" s="125"/>
      <c r="E7" s="125"/>
      <c r="F7" s="131"/>
      <c r="G7" s="132"/>
      <c r="H7" s="131"/>
      <c r="I7" s="133"/>
      <c r="J7" s="133"/>
      <c r="K7" s="130"/>
      <c r="L7" s="130"/>
      <c r="M7" s="130"/>
      <c r="N7" s="125"/>
      <c r="O7" s="130"/>
      <c r="P7" s="130"/>
      <c r="Q7" s="130"/>
      <c r="R7" s="125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4"/>
    </row>
    <row r="8" spans="1:34" ht="18.600000000000001" customHeight="1" x14ac:dyDescent="0.25">
      <c r="B8" s="124"/>
      <c r="C8" s="125"/>
      <c r="D8" s="125"/>
      <c r="E8" s="125"/>
      <c r="F8" s="131"/>
      <c r="G8" s="132"/>
      <c r="H8" s="131"/>
      <c r="I8" s="133"/>
      <c r="J8" s="133"/>
      <c r="K8" s="130"/>
      <c r="L8" s="130"/>
      <c r="M8" s="130"/>
      <c r="N8" s="125"/>
      <c r="O8" s="130"/>
      <c r="P8" s="130"/>
      <c r="Q8" s="130"/>
      <c r="R8" s="125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4"/>
    </row>
    <row r="9" spans="1:34" ht="18.600000000000001" customHeight="1" x14ac:dyDescent="0.25">
      <c r="B9" s="124"/>
      <c r="C9" s="125"/>
      <c r="D9" s="125"/>
      <c r="E9" s="125"/>
      <c r="F9" s="131"/>
      <c r="G9" s="132"/>
      <c r="H9" s="131"/>
      <c r="I9" s="133"/>
      <c r="J9" s="133"/>
      <c r="K9" s="130"/>
      <c r="L9" s="130"/>
      <c r="M9" s="130"/>
      <c r="N9" s="125"/>
      <c r="O9" s="130"/>
      <c r="P9" s="130"/>
      <c r="Q9" s="130"/>
      <c r="R9" s="125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4"/>
    </row>
    <row r="10" spans="1:34" ht="18.600000000000001" customHeight="1" x14ac:dyDescent="0.25">
      <c r="B10" s="124"/>
      <c r="C10" s="125"/>
      <c r="D10" s="125"/>
      <c r="E10" s="125"/>
      <c r="F10" s="131"/>
      <c r="G10" s="132"/>
      <c r="H10" s="131"/>
      <c r="I10" s="133"/>
      <c r="J10" s="133"/>
      <c r="K10" s="130"/>
      <c r="L10" s="130"/>
      <c r="M10" s="130"/>
      <c r="N10" s="125"/>
      <c r="O10" s="130"/>
      <c r="P10" s="130"/>
      <c r="Q10" s="130"/>
      <c r="R10" s="125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4"/>
    </row>
    <row r="11" spans="1:34" ht="18.600000000000001" customHeight="1" x14ac:dyDescent="0.25">
      <c r="B11" s="124"/>
      <c r="C11" s="125"/>
      <c r="D11" s="125"/>
      <c r="E11" s="125"/>
      <c r="F11" s="131"/>
      <c r="G11" s="132"/>
      <c r="H11" s="131"/>
      <c r="I11" s="133"/>
      <c r="J11" s="133"/>
      <c r="K11" s="130"/>
      <c r="L11" s="130"/>
      <c r="M11" s="130"/>
      <c r="N11" s="125"/>
      <c r="O11" s="130"/>
      <c r="P11" s="130"/>
      <c r="Q11" s="130"/>
      <c r="R11" s="125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4"/>
    </row>
    <row r="12" spans="1:34" ht="18.600000000000001" customHeight="1" x14ac:dyDescent="0.25">
      <c r="B12" s="124"/>
      <c r="C12" s="125"/>
      <c r="D12" s="125"/>
      <c r="E12" s="125"/>
      <c r="F12" s="131"/>
      <c r="G12" s="132"/>
      <c r="H12" s="131"/>
      <c r="I12" s="133"/>
      <c r="J12" s="133"/>
      <c r="K12" s="130"/>
      <c r="L12" s="130"/>
      <c r="M12" s="130"/>
      <c r="N12" s="125"/>
      <c r="O12" s="130"/>
      <c r="P12" s="130"/>
      <c r="Q12" s="130"/>
      <c r="R12" s="125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4"/>
    </row>
    <row r="13" spans="1:34" ht="18.600000000000001" customHeight="1" x14ac:dyDescent="0.25">
      <c r="B13" s="124"/>
      <c r="C13" s="125"/>
      <c r="D13" s="125"/>
      <c r="E13" s="125"/>
      <c r="F13" s="131"/>
      <c r="G13" s="132"/>
      <c r="H13" s="131"/>
      <c r="I13" s="133"/>
      <c r="J13" s="133"/>
      <c r="K13" s="130"/>
      <c r="L13" s="130"/>
      <c r="M13" s="130"/>
      <c r="N13" s="125"/>
      <c r="O13" s="130"/>
      <c r="P13" s="130"/>
      <c r="Q13" s="130"/>
      <c r="R13" s="125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4"/>
    </row>
    <row r="14" spans="1:34" ht="18.600000000000001" customHeight="1" x14ac:dyDescent="0.25">
      <c r="B14" s="124"/>
      <c r="C14" s="125"/>
      <c r="D14" s="125"/>
      <c r="E14" s="125"/>
      <c r="F14" s="131"/>
      <c r="G14" s="132"/>
      <c r="H14" s="131"/>
      <c r="I14" s="133"/>
      <c r="J14" s="133"/>
      <c r="K14" s="130"/>
      <c r="L14" s="130"/>
      <c r="M14" s="130"/>
      <c r="N14" s="125"/>
      <c r="O14" s="130"/>
      <c r="P14" s="130"/>
      <c r="Q14" s="130"/>
      <c r="R14" s="125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4"/>
    </row>
    <row r="15" spans="1:34" ht="18.600000000000001" customHeight="1" x14ac:dyDescent="0.25">
      <c r="B15" s="124"/>
      <c r="C15" s="125"/>
      <c r="D15" s="125"/>
      <c r="E15" s="125"/>
      <c r="F15" s="131"/>
      <c r="G15" s="132"/>
      <c r="H15" s="131"/>
      <c r="I15" s="133"/>
      <c r="J15" s="133"/>
      <c r="K15" s="130"/>
      <c r="L15" s="130"/>
      <c r="M15" s="130"/>
      <c r="N15" s="125"/>
      <c r="O15" s="130"/>
      <c r="P15" s="130"/>
      <c r="Q15" s="130"/>
      <c r="R15" s="125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4"/>
    </row>
    <row r="16" spans="1:34" ht="18.600000000000001" customHeight="1" x14ac:dyDescent="0.25">
      <c r="B16" s="124"/>
      <c r="C16" s="125"/>
      <c r="D16" s="125"/>
      <c r="E16" s="125"/>
      <c r="F16" s="131"/>
      <c r="G16" s="132"/>
      <c r="H16" s="131"/>
      <c r="I16" s="133"/>
      <c r="J16" s="133"/>
      <c r="K16" s="130"/>
      <c r="L16" s="130"/>
      <c r="M16" s="130"/>
      <c r="N16" s="125"/>
      <c r="O16" s="130"/>
      <c r="P16" s="130"/>
      <c r="Q16" s="130"/>
      <c r="R16" s="125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4"/>
    </row>
    <row r="17" spans="2:34" ht="18.600000000000001" customHeight="1" x14ac:dyDescent="0.25">
      <c r="B17" s="124"/>
      <c r="C17" s="125"/>
      <c r="D17" s="125"/>
      <c r="E17" s="125"/>
      <c r="F17" s="131"/>
      <c r="G17" s="132"/>
      <c r="H17" s="131"/>
      <c r="I17" s="133"/>
      <c r="J17" s="133"/>
      <c r="K17" s="130"/>
      <c r="L17" s="130"/>
      <c r="M17" s="130"/>
      <c r="N17" s="125"/>
      <c r="O17" s="130"/>
      <c r="P17" s="130"/>
      <c r="Q17" s="130"/>
      <c r="R17" s="125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4"/>
    </row>
    <row r="18" spans="2:34" ht="18.600000000000001" customHeight="1" x14ac:dyDescent="0.25">
      <c r="B18" s="124"/>
      <c r="C18" s="125"/>
      <c r="D18" s="125"/>
      <c r="E18" s="125"/>
      <c r="F18" s="131"/>
      <c r="G18" s="132"/>
      <c r="H18" s="131"/>
      <c r="I18" s="133"/>
      <c r="J18" s="133"/>
      <c r="K18" s="130"/>
      <c r="L18" s="130"/>
      <c r="M18" s="130"/>
      <c r="N18" s="125"/>
      <c r="O18" s="130"/>
      <c r="P18" s="130"/>
      <c r="Q18" s="130"/>
      <c r="R18" s="125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4"/>
    </row>
    <row r="19" spans="2:34" ht="18.600000000000001" customHeight="1" x14ac:dyDescent="0.25">
      <c r="B19" s="124"/>
      <c r="C19" s="125"/>
      <c r="D19" s="125"/>
      <c r="E19" s="125"/>
      <c r="F19" s="131"/>
      <c r="G19" s="132"/>
      <c r="H19" s="131"/>
      <c r="I19" s="133"/>
      <c r="J19" s="133"/>
      <c r="K19" s="130"/>
      <c r="L19" s="130"/>
      <c r="M19" s="130"/>
      <c r="N19" s="125"/>
      <c r="O19" s="130"/>
      <c r="P19" s="130"/>
      <c r="Q19" s="130"/>
      <c r="R19" s="125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4"/>
    </row>
    <row r="20" spans="2:34" ht="18.600000000000001" customHeight="1" x14ac:dyDescent="0.25">
      <c r="B20" s="124"/>
      <c r="C20" s="125"/>
      <c r="D20" s="125"/>
      <c r="E20" s="125"/>
      <c r="F20" s="131"/>
      <c r="G20" s="132"/>
      <c r="H20" s="131"/>
      <c r="I20" s="133"/>
      <c r="J20" s="133"/>
      <c r="K20" s="130"/>
      <c r="L20" s="130"/>
      <c r="M20" s="130"/>
      <c r="N20" s="125"/>
      <c r="O20" s="130"/>
      <c r="P20" s="130"/>
      <c r="Q20" s="130"/>
      <c r="R20" s="125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4"/>
    </row>
    <row r="21" spans="2:34" ht="18.600000000000001" customHeight="1" x14ac:dyDescent="0.25">
      <c r="B21" s="124"/>
      <c r="C21" s="125"/>
      <c r="D21" s="125"/>
      <c r="E21" s="125"/>
      <c r="F21" s="131"/>
      <c r="G21" s="132"/>
      <c r="H21" s="131"/>
      <c r="I21" s="133"/>
      <c r="J21" s="133"/>
      <c r="K21" s="130"/>
      <c r="L21" s="130"/>
      <c r="M21" s="130"/>
      <c r="N21" s="125"/>
      <c r="O21" s="130"/>
      <c r="P21" s="130"/>
      <c r="Q21" s="130"/>
      <c r="R21" s="125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4"/>
    </row>
    <row r="22" spans="2:34" ht="18.600000000000001" customHeight="1" x14ac:dyDescent="0.25">
      <c r="B22" s="124"/>
      <c r="C22" s="125"/>
      <c r="D22" s="125"/>
      <c r="E22" s="125"/>
      <c r="F22" s="131"/>
      <c r="G22" s="132"/>
      <c r="H22" s="131"/>
      <c r="I22" s="133"/>
      <c r="J22" s="133"/>
      <c r="K22" s="130"/>
      <c r="L22" s="130"/>
      <c r="M22" s="130"/>
      <c r="N22" s="125"/>
      <c r="O22" s="130"/>
      <c r="P22" s="130"/>
      <c r="Q22" s="130"/>
      <c r="R22" s="125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4"/>
    </row>
    <row r="23" spans="2:34" ht="18.600000000000001" customHeight="1" x14ac:dyDescent="0.25">
      <c r="B23" s="124"/>
      <c r="C23" s="125"/>
      <c r="D23" s="125"/>
      <c r="E23" s="125"/>
      <c r="F23" s="131"/>
      <c r="G23" s="132"/>
      <c r="H23" s="131"/>
      <c r="I23" s="133"/>
      <c r="J23" s="133"/>
      <c r="K23" s="130"/>
      <c r="L23" s="130"/>
      <c r="M23" s="130"/>
      <c r="N23" s="125"/>
      <c r="O23" s="130"/>
      <c r="P23" s="130"/>
      <c r="Q23" s="130"/>
      <c r="R23" s="125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4"/>
    </row>
    <row r="24" spans="2:34" ht="18.600000000000001" customHeight="1" x14ac:dyDescent="0.25">
      <c r="B24" s="124"/>
      <c r="C24" s="125"/>
      <c r="D24" s="125"/>
      <c r="E24" s="125"/>
      <c r="F24" s="131"/>
      <c r="G24" s="132"/>
      <c r="H24" s="131"/>
      <c r="I24" s="133"/>
      <c r="J24" s="133"/>
      <c r="K24" s="130"/>
      <c r="L24" s="130"/>
      <c r="M24" s="130"/>
      <c r="N24" s="125"/>
      <c r="O24" s="130"/>
      <c r="P24" s="130"/>
      <c r="Q24" s="130"/>
      <c r="R24" s="125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4"/>
    </row>
    <row r="25" spans="2:34" ht="18.600000000000001" customHeight="1" x14ac:dyDescent="0.25">
      <c r="B25" s="124"/>
      <c r="C25" s="125"/>
      <c r="D25" s="125"/>
      <c r="E25" s="125"/>
      <c r="F25" s="131"/>
      <c r="G25" s="132"/>
      <c r="H25" s="131"/>
      <c r="I25" s="133"/>
      <c r="J25" s="133"/>
      <c r="K25" s="130"/>
      <c r="L25" s="130"/>
      <c r="M25" s="130"/>
      <c r="N25" s="125"/>
      <c r="O25" s="130"/>
      <c r="P25" s="130"/>
      <c r="Q25" s="130"/>
      <c r="R25" s="125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4"/>
    </row>
    <row r="26" spans="2:34" ht="18.600000000000001" customHeight="1" x14ac:dyDescent="0.25">
      <c r="B26" s="124"/>
      <c r="C26" s="125"/>
      <c r="D26" s="125"/>
      <c r="E26" s="125"/>
      <c r="F26" s="131"/>
      <c r="G26" s="132"/>
      <c r="H26" s="131"/>
      <c r="I26" s="133"/>
      <c r="J26" s="133"/>
      <c r="K26" s="130"/>
      <c r="L26" s="130"/>
      <c r="M26" s="130"/>
      <c r="N26" s="125"/>
      <c r="O26" s="130"/>
      <c r="P26" s="130"/>
      <c r="Q26" s="130"/>
      <c r="R26" s="125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4"/>
    </row>
    <row r="27" spans="2:34" ht="18.600000000000001" customHeight="1" x14ac:dyDescent="0.25">
      <c r="B27" s="124"/>
      <c r="C27" s="125"/>
      <c r="D27" s="125"/>
      <c r="E27" s="125"/>
      <c r="F27" s="131"/>
      <c r="G27" s="132"/>
      <c r="H27" s="131"/>
      <c r="I27" s="133"/>
      <c r="J27" s="133"/>
      <c r="K27" s="130"/>
      <c r="L27" s="130"/>
      <c r="M27" s="130"/>
      <c r="N27" s="125"/>
      <c r="O27" s="130"/>
      <c r="P27" s="130"/>
      <c r="Q27" s="130"/>
      <c r="R27" s="125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4"/>
    </row>
    <row r="28" spans="2:34" ht="18.600000000000001" customHeight="1" x14ac:dyDescent="0.25">
      <c r="B28" s="124"/>
      <c r="C28" s="125"/>
      <c r="D28" s="125"/>
      <c r="E28" s="125"/>
      <c r="F28" s="131"/>
      <c r="G28" s="132"/>
      <c r="H28" s="131"/>
      <c r="I28" s="133"/>
      <c r="J28" s="133"/>
      <c r="K28" s="130"/>
      <c r="L28" s="130"/>
      <c r="M28" s="130"/>
      <c r="N28" s="125"/>
      <c r="O28" s="130"/>
      <c r="P28" s="130"/>
      <c r="Q28" s="130"/>
      <c r="R28" s="125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4"/>
    </row>
    <row r="29" spans="2:34" ht="18.600000000000001" customHeight="1" x14ac:dyDescent="0.25">
      <c r="B29" s="124"/>
      <c r="C29" s="125"/>
      <c r="D29" s="125"/>
      <c r="E29" s="125"/>
      <c r="F29" s="131"/>
      <c r="G29" s="132"/>
      <c r="H29" s="131"/>
      <c r="I29" s="133"/>
      <c r="J29" s="133"/>
      <c r="K29" s="130"/>
      <c r="L29" s="130"/>
      <c r="M29" s="130"/>
      <c r="N29" s="125"/>
      <c r="O29" s="130"/>
      <c r="P29" s="130"/>
      <c r="Q29" s="130"/>
      <c r="R29" s="125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4"/>
    </row>
    <row r="30" spans="2:34" ht="18.600000000000001" customHeight="1" x14ac:dyDescent="0.25">
      <c r="B30" s="124"/>
      <c r="C30" s="125"/>
      <c r="D30" s="125"/>
      <c r="E30" s="125"/>
      <c r="F30" s="131"/>
      <c r="G30" s="132"/>
      <c r="H30" s="131"/>
      <c r="I30" s="133"/>
      <c r="J30" s="133"/>
      <c r="K30" s="130"/>
      <c r="L30" s="130"/>
      <c r="M30" s="130"/>
      <c r="N30" s="125"/>
      <c r="O30" s="130"/>
      <c r="P30" s="130"/>
      <c r="Q30" s="130"/>
      <c r="R30" s="125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4"/>
    </row>
    <row r="31" spans="2:34" ht="18.600000000000001" customHeight="1" x14ac:dyDescent="0.25">
      <c r="B31" s="124"/>
      <c r="C31" s="125"/>
      <c r="D31" s="125"/>
      <c r="E31" s="125"/>
      <c r="F31" s="131"/>
      <c r="G31" s="132"/>
      <c r="H31" s="131"/>
      <c r="I31" s="133"/>
      <c r="J31" s="133"/>
      <c r="K31" s="130"/>
      <c r="L31" s="130"/>
      <c r="M31" s="130"/>
      <c r="N31" s="125"/>
      <c r="O31" s="130"/>
      <c r="P31" s="130"/>
      <c r="Q31" s="130"/>
      <c r="R31" s="125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4"/>
    </row>
    <row r="32" spans="2:34" ht="18.600000000000001" customHeight="1" x14ac:dyDescent="0.25">
      <c r="B32" s="124"/>
      <c r="C32" s="125"/>
      <c r="D32" s="125"/>
      <c r="E32" s="125"/>
      <c r="F32" s="131"/>
      <c r="G32" s="132"/>
      <c r="H32" s="131"/>
      <c r="I32" s="133"/>
      <c r="J32" s="133"/>
      <c r="K32" s="130"/>
      <c r="L32" s="130"/>
      <c r="M32" s="130"/>
      <c r="N32" s="125"/>
      <c r="O32" s="130"/>
      <c r="P32" s="130"/>
      <c r="Q32" s="130"/>
      <c r="R32" s="125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4"/>
    </row>
    <row r="33" spans="2:34" ht="18.600000000000001" customHeight="1" x14ac:dyDescent="0.25">
      <c r="B33" s="124"/>
      <c r="C33" s="125"/>
      <c r="D33" s="125"/>
      <c r="E33" s="125"/>
      <c r="F33" s="131"/>
      <c r="G33" s="132"/>
      <c r="H33" s="131"/>
      <c r="I33" s="133"/>
      <c r="J33" s="133"/>
      <c r="K33" s="130"/>
      <c r="L33" s="130"/>
      <c r="M33" s="130"/>
      <c r="N33" s="125"/>
      <c r="O33" s="130"/>
      <c r="P33" s="130"/>
      <c r="Q33" s="130"/>
      <c r="R33" s="125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4"/>
    </row>
    <row r="34" spans="2:34" ht="18.600000000000001" customHeight="1" x14ac:dyDescent="0.25">
      <c r="B34" s="124"/>
      <c r="C34" s="125"/>
      <c r="D34" s="125"/>
      <c r="E34" s="125"/>
      <c r="F34" s="131"/>
      <c r="G34" s="132"/>
      <c r="H34" s="131"/>
      <c r="I34" s="133"/>
      <c r="J34" s="133"/>
      <c r="K34" s="130"/>
      <c r="L34" s="130"/>
      <c r="M34" s="130"/>
      <c r="N34" s="125"/>
      <c r="O34" s="130"/>
      <c r="P34" s="130"/>
      <c r="Q34" s="130"/>
      <c r="R34" s="125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4"/>
    </row>
    <row r="35" spans="2:34" ht="18.600000000000001" customHeight="1" x14ac:dyDescent="0.25">
      <c r="B35" s="124"/>
      <c r="C35" s="125"/>
      <c r="D35" s="125"/>
      <c r="E35" s="125"/>
      <c r="F35" s="131"/>
      <c r="G35" s="132"/>
      <c r="H35" s="131"/>
      <c r="I35" s="133"/>
      <c r="J35" s="133"/>
      <c r="K35" s="130"/>
      <c r="L35" s="130"/>
      <c r="M35" s="130"/>
      <c r="N35" s="125"/>
      <c r="O35" s="130"/>
      <c r="P35" s="130"/>
      <c r="Q35" s="130"/>
      <c r="R35" s="125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4"/>
    </row>
    <row r="36" spans="2:34" ht="18.600000000000001" customHeight="1" x14ac:dyDescent="0.25">
      <c r="B36" s="124"/>
      <c r="C36" s="125"/>
      <c r="D36" s="125"/>
      <c r="E36" s="125"/>
      <c r="F36" s="131"/>
      <c r="G36" s="132"/>
      <c r="H36" s="131"/>
      <c r="I36" s="133"/>
      <c r="J36" s="133"/>
      <c r="K36" s="130"/>
      <c r="L36" s="130"/>
      <c r="M36" s="130"/>
      <c r="N36" s="125"/>
      <c r="O36" s="130"/>
      <c r="P36" s="130"/>
      <c r="Q36" s="130"/>
      <c r="R36" s="125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4"/>
    </row>
    <row r="37" spans="2:34" ht="18.600000000000001" customHeight="1" x14ac:dyDescent="0.25">
      <c r="B37" s="124"/>
      <c r="C37" s="125"/>
      <c r="D37" s="125"/>
      <c r="E37" s="125"/>
      <c r="F37" s="131"/>
      <c r="G37" s="132"/>
      <c r="H37" s="131"/>
      <c r="I37" s="133"/>
      <c r="J37" s="133"/>
      <c r="K37" s="130"/>
      <c r="L37" s="130"/>
      <c r="M37" s="130"/>
      <c r="N37" s="125"/>
      <c r="O37" s="130"/>
      <c r="P37" s="130"/>
      <c r="Q37" s="130"/>
      <c r="R37" s="125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4"/>
    </row>
    <row r="38" spans="2:34" x14ac:dyDescent="0.25">
      <c r="B38" s="124"/>
      <c r="C38" s="125"/>
      <c r="D38" s="125"/>
      <c r="E38" s="125"/>
      <c r="F38" s="131"/>
      <c r="G38" s="132"/>
      <c r="H38" s="131"/>
      <c r="I38" s="133"/>
      <c r="J38" s="133"/>
      <c r="K38" s="130"/>
      <c r="L38" s="130"/>
      <c r="M38" s="130"/>
      <c r="N38" s="125"/>
      <c r="O38" s="130"/>
      <c r="P38" s="130"/>
      <c r="Q38" s="130"/>
      <c r="R38" s="125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4"/>
    </row>
    <row r="39" spans="2:34" x14ac:dyDescent="0.25">
      <c r="B39" s="124"/>
      <c r="C39" s="125"/>
      <c r="D39" s="125"/>
      <c r="E39" s="125"/>
      <c r="F39" s="131"/>
      <c r="G39" s="132"/>
      <c r="H39" s="131"/>
      <c r="I39" s="133"/>
      <c r="J39" s="133"/>
      <c r="K39" s="130"/>
      <c r="L39" s="130"/>
      <c r="M39" s="130"/>
      <c r="N39" s="125"/>
      <c r="O39" s="130"/>
      <c r="P39" s="130"/>
      <c r="Q39" s="130"/>
      <c r="R39" s="125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4"/>
    </row>
    <row r="40" spans="2:34" x14ac:dyDescent="0.25">
      <c r="B40" s="124"/>
      <c r="C40" s="125"/>
      <c r="D40" s="125"/>
      <c r="E40" s="125"/>
      <c r="F40" s="131"/>
      <c r="G40" s="132"/>
      <c r="H40" s="131"/>
      <c r="I40" s="133"/>
      <c r="J40" s="133"/>
      <c r="K40" s="130"/>
      <c r="L40" s="130"/>
      <c r="M40" s="130"/>
      <c r="N40" s="125"/>
      <c r="O40" s="130"/>
      <c r="P40" s="130"/>
      <c r="Q40" s="130"/>
      <c r="R40" s="125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4"/>
    </row>
    <row r="41" spans="2:34" x14ac:dyDescent="0.25">
      <c r="B41" s="124"/>
      <c r="C41" s="125"/>
      <c r="D41" s="125"/>
      <c r="E41" s="125"/>
      <c r="F41" s="131"/>
      <c r="G41" s="132"/>
      <c r="H41" s="131"/>
      <c r="I41" s="133"/>
      <c r="J41" s="133"/>
      <c r="K41" s="130"/>
      <c r="L41" s="130"/>
      <c r="M41" s="130"/>
      <c r="N41" s="125"/>
      <c r="O41" s="130"/>
      <c r="P41" s="130"/>
      <c r="Q41" s="130"/>
      <c r="R41" s="125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4"/>
    </row>
    <row r="42" spans="2:34" x14ac:dyDescent="0.25">
      <c r="B42" s="124"/>
      <c r="C42" s="125"/>
      <c r="D42" s="125"/>
      <c r="E42" s="125"/>
      <c r="F42" s="131"/>
      <c r="G42" s="132"/>
      <c r="H42" s="131"/>
      <c r="I42" s="133"/>
      <c r="J42" s="133"/>
      <c r="K42" s="130"/>
      <c r="L42" s="130"/>
      <c r="M42" s="130"/>
      <c r="N42" s="125"/>
      <c r="O42" s="130"/>
      <c r="P42" s="130"/>
      <c r="Q42" s="130"/>
      <c r="R42" s="125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4"/>
    </row>
    <row r="43" spans="2:34" x14ac:dyDescent="0.25">
      <c r="B43" s="124"/>
      <c r="C43" s="125"/>
      <c r="D43" s="125"/>
      <c r="E43" s="125"/>
      <c r="F43" s="131"/>
      <c r="G43" s="132"/>
      <c r="H43" s="131"/>
      <c r="I43" s="133"/>
      <c r="J43" s="133"/>
      <c r="K43" s="130"/>
      <c r="L43" s="130"/>
      <c r="M43" s="130"/>
      <c r="N43" s="125"/>
      <c r="O43" s="130"/>
      <c r="P43" s="130"/>
      <c r="Q43" s="130"/>
      <c r="R43" s="125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4"/>
    </row>
    <row r="44" spans="2:34" x14ac:dyDescent="0.25">
      <c r="B44" s="124"/>
      <c r="C44" s="125"/>
      <c r="D44" s="125"/>
      <c r="E44" s="125"/>
      <c r="F44" s="131"/>
      <c r="G44" s="132"/>
      <c r="H44" s="131"/>
      <c r="I44" s="133"/>
      <c r="J44" s="133"/>
      <c r="K44" s="130"/>
      <c r="L44" s="130"/>
      <c r="M44" s="130"/>
      <c r="N44" s="125"/>
      <c r="O44" s="130"/>
      <c r="P44" s="130"/>
      <c r="Q44" s="130"/>
      <c r="R44" s="125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4"/>
    </row>
    <row r="45" spans="2:34" x14ac:dyDescent="0.25">
      <c r="B45" s="124"/>
      <c r="C45" s="125"/>
      <c r="D45" s="125"/>
      <c r="E45" s="125"/>
      <c r="F45" s="131"/>
      <c r="G45" s="132"/>
      <c r="H45" s="131"/>
      <c r="I45" s="133"/>
      <c r="J45" s="133"/>
      <c r="K45" s="130"/>
      <c r="L45" s="130"/>
      <c r="M45" s="130"/>
      <c r="N45" s="125"/>
      <c r="O45" s="130"/>
      <c r="P45" s="130"/>
      <c r="Q45" s="130"/>
      <c r="R45" s="125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4"/>
    </row>
    <row r="46" spans="2:34" x14ac:dyDescent="0.25">
      <c r="B46" s="124"/>
      <c r="C46" s="125"/>
      <c r="D46" s="125"/>
      <c r="E46" s="125"/>
      <c r="F46" s="131"/>
      <c r="G46" s="132"/>
      <c r="H46" s="131"/>
      <c r="I46" s="133"/>
      <c r="J46" s="133"/>
      <c r="K46" s="130"/>
      <c r="L46" s="130"/>
      <c r="M46" s="130"/>
      <c r="N46" s="125"/>
      <c r="O46" s="130"/>
      <c r="P46" s="130"/>
      <c r="Q46" s="130"/>
      <c r="R46" s="125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4"/>
    </row>
    <row r="47" spans="2:34" x14ac:dyDescent="0.25">
      <c r="B47" s="124"/>
      <c r="C47" s="125"/>
      <c r="D47" s="125"/>
      <c r="E47" s="125"/>
      <c r="F47" s="131"/>
      <c r="G47" s="132"/>
      <c r="H47" s="131"/>
      <c r="I47" s="133"/>
      <c r="J47" s="133"/>
      <c r="K47" s="130"/>
      <c r="L47" s="130"/>
      <c r="M47" s="130"/>
      <c r="N47" s="125"/>
      <c r="O47" s="130"/>
      <c r="P47" s="130"/>
      <c r="Q47" s="130"/>
      <c r="R47" s="125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4"/>
    </row>
    <row r="48" spans="2:34" x14ac:dyDescent="0.25">
      <c r="B48" s="124"/>
      <c r="C48" s="125"/>
      <c r="D48" s="125"/>
      <c r="E48" s="125"/>
      <c r="F48" s="131"/>
      <c r="G48" s="132"/>
      <c r="H48" s="131"/>
      <c r="I48" s="133"/>
      <c r="J48" s="133"/>
      <c r="K48" s="130"/>
      <c r="L48" s="130"/>
      <c r="M48" s="130"/>
      <c r="N48" s="125"/>
      <c r="O48" s="130"/>
      <c r="P48" s="130"/>
      <c r="Q48" s="130"/>
      <c r="R48" s="125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4"/>
    </row>
    <row r="49" spans="2:34" x14ac:dyDescent="0.25">
      <c r="B49" s="124"/>
      <c r="C49" s="125"/>
      <c r="D49" s="125"/>
      <c r="E49" s="125"/>
      <c r="F49" s="131"/>
      <c r="G49" s="132"/>
      <c r="H49" s="131"/>
      <c r="I49" s="133"/>
      <c r="J49" s="133"/>
      <c r="K49" s="130"/>
      <c r="L49" s="130"/>
      <c r="M49" s="130"/>
      <c r="N49" s="125"/>
      <c r="O49" s="130"/>
      <c r="P49" s="130"/>
      <c r="Q49" s="130"/>
      <c r="R49" s="125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4"/>
    </row>
    <row r="50" spans="2:34" x14ac:dyDescent="0.25">
      <c r="B50" s="124"/>
      <c r="C50" s="125"/>
      <c r="D50" s="125"/>
      <c r="E50" s="125"/>
      <c r="F50" s="131"/>
      <c r="G50" s="132"/>
      <c r="H50" s="131"/>
      <c r="I50" s="133"/>
      <c r="J50" s="133"/>
      <c r="K50" s="130"/>
      <c r="L50" s="130"/>
      <c r="M50" s="130"/>
      <c r="N50" s="125"/>
      <c r="O50" s="130"/>
      <c r="P50" s="130"/>
      <c r="Q50" s="130"/>
      <c r="R50" s="125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4"/>
    </row>
    <row r="51" spans="2:34" x14ac:dyDescent="0.25">
      <c r="B51" s="124"/>
      <c r="C51" s="125"/>
      <c r="D51" s="125"/>
      <c r="E51" s="125"/>
      <c r="F51" s="131"/>
      <c r="G51" s="132"/>
      <c r="H51" s="131"/>
      <c r="I51" s="133"/>
      <c r="J51" s="133"/>
      <c r="K51" s="130"/>
      <c r="L51" s="130"/>
      <c r="M51" s="130"/>
      <c r="N51" s="125"/>
      <c r="O51" s="130"/>
      <c r="P51" s="130"/>
      <c r="Q51" s="130"/>
      <c r="R51" s="125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4"/>
    </row>
    <row r="52" spans="2:34" x14ac:dyDescent="0.25">
      <c r="B52" s="124"/>
      <c r="C52" s="125"/>
      <c r="D52" s="125"/>
      <c r="E52" s="125"/>
      <c r="F52" s="131"/>
      <c r="G52" s="132"/>
      <c r="H52" s="131"/>
      <c r="I52" s="133"/>
      <c r="J52" s="133"/>
      <c r="K52" s="130"/>
      <c r="L52" s="130"/>
      <c r="M52" s="130"/>
      <c r="N52" s="125"/>
      <c r="O52" s="130"/>
      <c r="P52" s="130"/>
      <c r="Q52" s="130"/>
      <c r="R52" s="125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4"/>
    </row>
    <row r="53" spans="2:34" ht="13.8" thickBot="1" x14ac:dyDescent="0.3">
      <c r="B53" s="126"/>
      <c r="C53" s="127"/>
      <c r="D53" s="127"/>
      <c r="E53" s="127"/>
      <c r="F53" s="135"/>
      <c r="G53" s="136"/>
      <c r="H53" s="135"/>
      <c r="I53" s="137"/>
      <c r="J53" s="137"/>
      <c r="K53" s="138"/>
      <c r="L53" s="138"/>
      <c r="M53" s="138"/>
      <c r="N53" s="127"/>
      <c r="O53" s="138"/>
      <c r="P53" s="138"/>
      <c r="Q53" s="138"/>
      <c r="R53" s="127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9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 macro="[0]!Macro12">
                <anchor>
                  <from>
                    <xdr:col>1</xdr:col>
                    <xdr:colOff>0</xdr:colOff>
                    <xdr:row>0</xdr:row>
                    <xdr:rowOff>68580</xdr:rowOff>
                  </from>
                  <to>
                    <xdr:col>1</xdr:col>
                    <xdr:colOff>1021080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68"/>
  <sheetViews>
    <sheetView showGridLines="0" topLeftCell="A15" zoomScale="90" zoomScaleNormal="90" workbookViewId="0">
      <selection activeCell="B24" sqref="B24:B28"/>
    </sheetView>
  </sheetViews>
  <sheetFormatPr defaultColWidth="8.77734375" defaultRowHeight="13.8" x14ac:dyDescent="0.25"/>
  <cols>
    <col min="1" max="1" width="1.77734375" style="3" customWidth="1"/>
    <col min="2" max="2" width="7.77734375" style="3" customWidth="1"/>
    <col min="3" max="3" width="13.77734375" style="3" bestFit="1" customWidth="1"/>
    <col min="4" max="4" width="5.33203125" style="3" bestFit="1" customWidth="1"/>
    <col min="5" max="5" width="8.109375" style="3" bestFit="1" customWidth="1"/>
    <col min="6" max="6" width="9.109375" style="3" bestFit="1" customWidth="1"/>
    <col min="7" max="9" width="9.33203125" style="3" bestFit="1" customWidth="1"/>
    <col min="10" max="10" width="10.109375" style="3" bestFit="1" customWidth="1"/>
    <col min="11" max="11" width="11.109375" style="3" bestFit="1" customWidth="1"/>
    <col min="12" max="12" width="6.5546875" style="3" bestFit="1" customWidth="1"/>
    <col min="13" max="13" width="5.44140625" style="3" bestFit="1" customWidth="1"/>
    <col min="14" max="16384" width="8.77734375" style="3"/>
  </cols>
  <sheetData>
    <row r="1" spans="2:13" ht="6" customHeight="1" x14ac:dyDescent="0.25">
      <c r="B1" s="2"/>
    </row>
    <row r="2" spans="2:13" ht="16.8" x14ac:dyDescent="0.25">
      <c r="B2" s="11"/>
      <c r="C2" s="439" t="s">
        <v>76</v>
      </c>
      <c r="D2" s="439"/>
      <c r="E2" s="439"/>
      <c r="F2" s="439"/>
      <c r="G2" s="439"/>
      <c r="H2" s="439"/>
      <c r="I2" s="439"/>
      <c r="J2" s="439"/>
      <c r="K2" s="439"/>
      <c r="L2" s="439"/>
    </row>
    <row r="3" spans="2:13" ht="6" customHeight="1" x14ac:dyDescent="0.25">
      <c r="B3" s="2"/>
    </row>
    <row r="4" spans="2:13" ht="23.25" customHeight="1" x14ac:dyDescent="0.25">
      <c r="B4" s="436" t="s">
        <v>1</v>
      </c>
      <c r="C4" s="10" t="s">
        <v>61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39</v>
      </c>
      <c r="J4" s="10" t="s">
        <v>51</v>
      </c>
      <c r="K4" s="10" t="s">
        <v>52</v>
      </c>
      <c r="L4" s="10" t="s">
        <v>53</v>
      </c>
    </row>
    <row r="5" spans="2:13" x14ac:dyDescent="0.25">
      <c r="B5" s="437"/>
      <c r="C5" s="5" t="s">
        <v>21</v>
      </c>
      <c r="D5" s="6"/>
      <c r="E5" s="15">
        <v>0.5</v>
      </c>
      <c r="F5" s="16">
        <v>0.48</v>
      </c>
      <c r="G5" s="16">
        <v>0.46</v>
      </c>
      <c r="H5" s="16">
        <v>0.44</v>
      </c>
      <c r="I5" s="16">
        <v>0.42</v>
      </c>
      <c r="J5" s="16">
        <v>0.4</v>
      </c>
      <c r="K5" s="16">
        <v>0.38</v>
      </c>
      <c r="L5" s="16">
        <v>0.36</v>
      </c>
    </row>
    <row r="6" spans="2:13" x14ac:dyDescent="0.25">
      <c r="B6" s="437"/>
      <c r="C6" s="5" t="s">
        <v>41</v>
      </c>
      <c r="D6" s="6"/>
      <c r="E6" s="15">
        <v>0.7</v>
      </c>
      <c r="F6" s="16">
        <v>0.67</v>
      </c>
      <c r="G6" s="16">
        <v>0.64</v>
      </c>
      <c r="H6" s="16">
        <v>0.61</v>
      </c>
      <c r="I6" s="16">
        <v>0.57999999999999996</v>
      </c>
      <c r="J6" s="16">
        <v>0.55000000000000004</v>
      </c>
      <c r="K6" s="16">
        <v>0.52000000000000102</v>
      </c>
      <c r="L6" s="16">
        <v>0.49000000000000099</v>
      </c>
      <c r="M6" s="9"/>
    </row>
    <row r="7" spans="2:13" x14ac:dyDescent="0.25">
      <c r="B7" s="437"/>
      <c r="C7" s="5" t="s">
        <v>42</v>
      </c>
      <c r="D7" s="6"/>
      <c r="E7" s="15">
        <v>0.85</v>
      </c>
      <c r="F7" s="16">
        <v>0.81</v>
      </c>
      <c r="G7" s="16">
        <v>0.77</v>
      </c>
      <c r="H7" s="16">
        <v>0.73</v>
      </c>
      <c r="I7" s="16">
        <v>0.69</v>
      </c>
      <c r="J7" s="16">
        <v>0.65</v>
      </c>
      <c r="K7" s="16">
        <v>0.61</v>
      </c>
      <c r="L7" s="16">
        <v>0.57000000000000095</v>
      </c>
    </row>
    <row r="8" spans="2:13" x14ac:dyDescent="0.25">
      <c r="B8" s="438"/>
      <c r="C8" s="5" t="s">
        <v>43</v>
      </c>
      <c r="D8" s="6"/>
      <c r="E8" s="7"/>
      <c r="F8" s="6"/>
      <c r="G8" s="7"/>
      <c r="H8" s="8"/>
      <c r="I8" s="6"/>
      <c r="J8" s="6"/>
      <c r="K8" s="6"/>
      <c r="L8" s="6"/>
    </row>
    <row r="9" spans="2:13" x14ac:dyDescent="0.25">
      <c r="B9" s="2"/>
    </row>
    <row r="10" spans="2:13" x14ac:dyDescent="0.25">
      <c r="B10" s="436" t="s">
        <v>8</v>
      </c>
      <c r="C10" s="4" t="s">
        <v>61</v>
      </c>
      <c r="D10" s="10" t="s">
        <v>46</v>
      </c>
      <c r="E10" s="10" t="s">
        <v>47</v>
      </c>
      <c r="F10" s="10" t="s">
        <v>48</v>
      </c>
      <c r="G10" s="10" t="s">
        <v>49</v>
      </c>
      <c r="H10" s="10" t="s">
        <v>50</v>
      </c>
      <c r="I10" s="10" t="s">
        <v>39</v>
      </c>
      <c r="J10" s="10" t="s">
        <v>51</v>
      </c>
      <c r="K10" s="10" t="s">
        <v>52</v>
      </c>
      <c r="L10" s="10" t="s">
        <v>53</v>
      </c>
    </row>
    <row r="11" spans="2:13" x14ac:dyDescent="0.25">
      <c r="B11" s="437"/>
      <c r="C11" s="5" t="s">
        <v>21</v>
      </c>
      <c r="D11" s="6"/>
      <c r="E11" s="15">
        <v>0.25</v>
      </c>
      <c r="F11" s="16">
        <v>0.23</v>
      </c>
      <c r="G11" s="16">
        <v>0.21</v>
      </c>
      <c r="H11" s="16">
        <v>0.19</v>
      </c>
      <c r="I11" s="16">
        <v>0.17</v>
      </c>
      <c r="J11" s="16">
        <v>0.15</v>
      </c>
      <c r="K11" s="16">
        <v>0.13</v>
      </c>
      <c r="L11" s="16">
        <v>0.11</v>
      </c>
    </row>
    <row r="12" spans="2:13" x14ac:dyDescent="0.25">
      <c r="B12" s="437"/>
      <c r="C12" s="5" t="s">
        <v>41</v>
      </c>
      <c r="D12" s="6"/>
      <c r="E12" s="15">
        <v>0.35</v>
      </c>
      <c r="F12" s="16">
        <v>0.32</v>
      </c>
      <c r="G12" s="16">
        <v>0.28999999999999998</v>
      </c>
      <c r="H12" s="16">
        <v>0.26</v>
      </c>
      <c r="I12" s="16">
        <v>0.23</v>
      </c>
      <c r="J12" s="16">
        <v>0.2</v>
      </c>
      <c r="K12" s="16">
        <v>0.17</v>
      </c>
      <c r="L12" s="16">
        <v>0.14000000000000001</v>
      </c>
    </row>
    <row r="13" spans="2:13" x14ac:dyDescent="0.25">
      <c r="B13" s="437"/>
      <c r="C13" s="5" t="s">
        <v>42</v>
      </c>
      <c r="D13" s="6"/>
      <c r="E13" s="15">
        <v>0.45</v>
      </c>
      <c r="F13" s="16">
        <v>0.41</v>
      </c>
      <c r="G13" s="16">
        <v>0.37</v>
      </c>
      <c r="H13" s="16">
        <v>0.33</v>
      </c>
      <c r="I13" s="16">
        <v>0.28999999999999998</v>
      </c>
      <c r="J13" s="16">
        <v>0.25</v>
      </c>
      <c r="K13" s="16">
        <v>0.21</v>
      </c>
      <c r="L13" s="16">
        <v>0.17</v>
      </c>
    </row>
    <row r="14" spans="2:13" x14ac:dyDescent="0.25">
      <c r="B14" s="438"/>
      <c r="C14" s="5" t="s">
        <v>43</v>
      </c>
      <c r="D14" s="6"/>
      <c r="E14" s="7"/>
      <c r="F14" s="6"/>
      <c r="G14" s="7"/>
      <c r="H14" s="8"/>
      <c r="I14" s="6"/>
      <c r="J14" s="6"/>
      <c r="K14" s="6"/>
      <c r="L14" s="6"/>
    </row>
    <row r="15" spans="2:13" x14ac:dyDescent="0.25">
      <c r="B15" s="2"/>
    </row>
    <row r="16" spans="2:13" x14ac:dyDescent="0.25">
      <c r="B16" s="436" t="s">
        <v>44</v>
      </c>
      <c r="C16" s="4" t="s">
        <v>61</v>
      </c>
      <c r="D16" s="10" t="s">
        <v>46</v>
      </c>
      <c r="E16" s="10" t="s">
        <v>47</v>
      </c>
      <c r="F16" s="10" t="s">
        <v>48</v>
      </c>
      <c r="G16" s="10" t="s">
        <v>49</v>
      </c>
      <c r="H16" s="10" t="s">
        <v>50</v>
      </c>
      <c r="I16" s="10" t="s">
        <v>39</v>
      </c>
      <c r="J16" s="10" t="s">
        <v>51</v>
      </c>
      <c r="K16" s="10" t="s">
        <v>52</v>
      </c>
      <c r="L16" s="10" t="s">
        <v>53</v>
      </c>
    </row>
    <row r="17" spans="2:13" x14ac:dyDescent="0.25">
      <c r="B17" s="437"/>
      <c r="C17" s="5" t="s">
        <v>21</v>
      </c>
      <c r="D17" s="6"/>
      <c r="E17" s="15">
        <v>0.5</v>
      </c>
      <c r="F17" s="16">
        <v>0.48</v>
      </c>
      <c r="G17" s="16">
        <v>0.46</v>
      </c>
      <c r="H17" s="16">
        <v>0.44</v>
      </c>
      <c r="I17" s="16">
        <v>0.42</v>
      </c>
      <c r="J17" s="16">
        <v>0.4</v>
      </c>
      <c r="K17" s="16">
        <v>0.38</v>
      </c>
      <c r="L17" s="16">
        <v>0.36</v>
      </c>
    </row>
    <row r="18" spans="2:13" x14ac:dyDescent="0.25">
      <c r="B18" s="437"/>
      <c r="C18" s="5" t="s">
        <v>41</v>
      </c>
      <c r="D18" s="6"/>
      <c r="E18" s="15">
        <v>0.75</v>
      </c>
      <c r="F18" s="16">
        <v>0.72</v>
      </c>
      <c r="G18" s="16">
        <v>0.69</v>
      </c>
      <c r="H18" s="16">
        <v>0.66</v>
      </c>
      <c r="I18" s="16">
        <v>0.63</v>
      </c>
      <c r="J18" s="16">
        <v>0.6</v>
      </c>
      <c r="K18" s="16">
        <v>0.56999999999999995</v>
      </c>
      <c r="L18" s="16">
        <v>0.54</v>
      </c>
    </row>
    <row r="19" spans="2:13" x14ac:dyDescent="0.25">
      <c r="B19" s="437"/>
      <c r="C19" s="5" t="s">
        <v>42</v>
      </c>
      <c r="D19" s="6"/>
      <c r="E19" s="15">
        <v>1</v>
      </c>
      <c r="F19" s="16">
        <v>0.96</v>
      </c>
      <c r="G19" s="16">
        <v>0.92</v>
      </c>
      <c r="H19" s="16">
        <v>0.88</v>
      </c>
      <c r="I19" s="16">
        <v>0.84</v>
      </c>
      <c r="J19" s="16">
        <v>0.8</v>
      </c>
      <c r="K19" s="16">
        <v>0.76</v>
      </c>
      <c r="L19" s="16">
        <v>0.72</v>
      </c>
    </row>
    <row r="20" spans="2:13" x14ac:dyDescent="0.25">
      <c r="B20" s="437"/>
      <c r="C20" s="5" t="s">
        <v>43</v>
      </c>
      <c r="D20" s="6"/>
      <c r="E20" s="7"/>
      <c r="F20" s="6"/>
      <c r="G20" s="7"/>
      <c r="H20" s="8"/>
      <c r="I20" s="6"/>
      <c r="J20" s="6"/>
      <c r="K20" s="6"/>
      <c r="L20" s="6"/>
    </row>
    <row r="21" spans="2:13" x14ac:dyDescent="0.25">
      <c r="B21" s="437"/>
      <c r="C21" s="5" t="s">
        <v>77</v>
      </c>
      <c r="D21" s="6"/>
      <c r="E21" s="7"/>
      <c r="F21" s="6"/>
      <c r="G21" s="7"/>
      <c r="H21" s="8"/>
      <c r="I21" s="6"/>
      <c r="J21" s="6"/>
      <c r="K21" s="6"/>
      <c r="L21" s="6"/>
    </row>
    <row r="22" spans="2:13" x14ac:dyDescent="0.25">
      <c r="B22" s="438"/>
      <c r="C22" s="5" t="s">
        <v>78</v>
      </c>
      <c r="D22" s="6"/>
      <c r="E22" s="7"/>
      <c r="F22" s="6"/>
      <c r="G22" s="7"/>
      <c r="H22" s="8"/>
      <c r="I22" s="6"/>
      <c r="J22" s="6"/>
      <c r="K22" s="6"/>
      <c r="L22" s="6"/>
    </row>
    <row r="23" spans="2:13" x14ac:dyDescent="0.25">
      <c r="B23" s="2"/>
    </row>
    <row r="24" spans="2:13" x14ac:dyDescent="0.25">
      <c r="B24" s="436" t="s">
        <v>7</v>
      </c>
      <c r="C24" s="4" t="s">
        <v>61</v>
      </c>
      <c r="D24" s="10" t="s">
        <v>46</v>
      </c>
      <c r="E24" s="10" t="s">
        <v>47</v>
      </c>
      <c r="F24" s="10" t="s">
        <v>48</v>
      </c>
      <c r="G24" s="10" t="s">
        <v>49</v>
      </c>
      <c r="H24" s="10" t="s">
        <v>50</v>
      </c>
      <c r="I24" s="10" t="s">
        <v>39</v>
      </c>
      <c r="J24" s="10" t="s">
        <v>51</v>
      </c>
      <c r="K24" s="10" t="s">
        <v>52</v>
      </c>
      <c r="L24" s="10" t="s">
        <v>53</v>
      </c>
    </row>
    <row r="25" spans="2:13" x14ac:dyDescent="0.25">
      <c r="B25" s="437"/>
      <c r="C25" s="5" t="s">
        <v>21</v>
      </c>
      <c r="D25" s="6"/>
      <c r="E25" s="15">
        <v>0.25</v>
      </c>
      <c r="F25" s="16">
        <v>0.24</v>
      </c>
      <c r="G25" s="16">
        <v>0.23</v>
      </c>
      <c r="H25" s="16">
        <v>0.22</v>
      </c>
      <c r="I25" s="16">
        <v>0.21</v>
      </c>
      <c r="J25" s="16">
        <v>0.2</v>
      </c>
      <c r="K25" s="16">
        <v>0.19</v>
      </c>
      <c r="L25" s="16">
        <v>0.18</v>
      </c>
    </row>
    <row r="26" spans="2:13" x14ac:dyDescent="0.25">
      <c r="B26" s="437"/>
      <c r="C26" s="5" t="s">
        <v>41</v>
      </c>
      <c r="D26" s="6"/>
      <c r="E26" s="15">
        <v>0.35</v>
      </c>
      <c r="F26" s="16">
        <v>0.33</v>
      </c>
      <c r="G26" s="16">
        <v>0.31</v>
      </c>
      <c r="H26" s="16">
        <v>0.28999999999999998</v>
      </c>
      <c r="I26" s="16">
        <v>0.27</v>
      </c>
      <c r="J26" s="16">
        <v>0.25</v>
      </c>
      <c r="K26" s="16">
        <v>0.23</v>
      </c>
      <c r="L26" s="16">
        <v>0.21</v>
      </c>
    </row>
    <row r="27" spans="2:13" x14ac:dyDescent="0.25">
      <c r="B27" s="437"/>
      <c r="C27" s="5" t="s">
        <v>42</v>
      </c>
      <c r="D27" s="6"/>
      <c r="E27" s="15">
        <v>0.45</v>
      </c>
      <c r="F27" s="16">
        <v>0.42</v>
      </c>
      <c r="G27" s="16">
        <v>0.39</v>
      </c>
      <c r="H27" s="16">
        <v>0.36</v>
      </c>
      <c r="I27" s="16">
        <v>0.33</v>
      </c>
      <c r="J27" s="16">
        <v>0.3</v>
      </c>
      <c r="K27" s="16">
        <v>0.27</v>
      </c>
      <c r="L27" s="16">
        <v>0.24</v>
      </c>
    </row>
    <row r="28" spans="2:13" x14ac:dyDescent="0.25">
      <c r="B28" s="437"/>
      <c r="C28" s="5" t="s">
        <v>43</v>
      </c>
      <c r="D28" s="6"/>
      <c r="E28" s="6"/>
      <c r="F28" s="6"/>
      <c r="G28" s="6"/>
      <c r="H28" s="8"/>
      <c r="I28" s="6"/>
      <c r="J28" s="6"/>
      <c r="K28" s="6"/>
      <c r="L28" s="6"/>
    </row>
    <row r="29" spans="2:13" x14ac:dyDescent="0.25">
      <c r="B29" s="12"/>
      <c r="C29" s="5" t="s">
        <v>77</v>
      </c>
      <c r="D29" s="6"/>
      <c r="E29" s="6"/>
      <c r="F29" s="6"/>
      <c r="G29" s="6"/>
      <c r="H29" s="8"/>
      <c r="I29" s="6"/>
      <c r="J29" s="6"/>
      <c r="K29" s="6"/>
      <c r="L29" s="6"/>
    </row>
    <row r="30" spans="2:13" x14ac:dyDescent="0.25">
      <c r="B30" s="13"/>
      <c r="C30" s="5" t="s">
        <v>78</v>
      </c>
      <c r="D30" s="6"/>
      <c r="E30" s="6"/>
      <c r="F30" s="6"/>
      <c r="G30" s="6"/>
      <c r="H30" s="8"/>
      <c r="I30" s="6"/>
      <c r="J30" s="6"/>
      <c r="K30" s="6"/>
      <c r="L30" s="6"/>
    </row>
    <row r="31" spans="2:13" x14ac:dyDescent="0.25">
      <c r="B31" s="2"/>
    </row>
    <row r="32" spans="2:13" x14ac:dyDescent="0.25">
      <c r="B32" s="436" t="s">
        <v>79</v>
      </c>
      <c r="C32" s="4" t="s">
        <v>80</v>
      </c>
      <c r="D32" s="10" t="s">
        <v>46</v>
      </c>
      <c r="E32" s="10" t="s">
        <v>47</v>
      </c>
      <c r="F32" s="10" t="s">
        <v>48</v>
      </c>
      <c r="G32" s="10" t="s">
        <v>49</v>
      </c>
      <c r="H32" s="10" t="s">
        <v>50</v>
      </c>
      <c r="I32" s="10" t="s">
        <v>39</v>
      </c>
      <c r="J32" s="10" t="s">
        <v>51</v>
      </c>
      <c r="K32" s="10" t="s">
        <v>52</v>
      </c>
      <c r="L32" s="10" t="s">
        <v>53</v>
      </c>
      <c r="M32" s="18" cm="1">
        <f t="array" ref="M32">SUM(IF('Reject Grid'!$D$32:$L$32=Model!$D$10,IF('Reject Grid'!$C$33:$C$46=Model!$D$14,'Reject Grid'!$D$33:$L$46)))</f>
        <v>1</v>
      </c>
    </row>
    <row r="33" spans="2:12" x14ac:dyDescent="0.25">
      <c r="B33" s="437"/>
      <c r="C33" s="21" t="s">
        <v>62</v>
      </c>
      <c r="D33" s="16">
        <v>1.5</v>
      </c>
      <c r="E33" s="16">
        <v>1</v>
      </c>
      <c r="F33" s="16">
        <v>1</v>
      </c>
      <c r="G33" s="16">
        <v>1</v>
      </c>
      <c r="H33" s="16">
        <v>1</v>
      </c>
      <c r="I33" s="16">
        <v>0.9</v>
      </c>
      <c r="J33" s="16">
        <v>0.9</v>
      </c>
      <c r="K33" s="16">
        <v>0.75</v>
      </c>
      <c r="L33" s="16">
        <v>0.75</v>
      </c>
    </row>
    <row r="34" spans="2:12" x14ac:dyDescent="0.25">
      <c r="B34" s="437"/>
      <c r="C34" s="21" t="s">
        <v>63</v>
      </c>
      <c r="D34" s="16">
        <v>1.5</v>
      </c>
      <c r="E34" s="16">
        <v>1</v>
      </c>
      <c r="F34" s="16">
        <v>1</v>
      </c>
      <c r="G34" s="16">
        <v>0.75</v>
      </c>
      <c r="H34" s="16">
        <v>0.75</v>
      </c>
      <c r="I34" s="16">
        <v>0.9</v>
      </c>
      <c r="J34" s="16">
        <v>0.9</v>
      </c>
      <c r="K34" s="16">
        <v>0.75</v>
      </c>
      <c r="L34" s="16">
        <v>0.75</v>
      </c>
    </row>
    <row r="35" spans="2:12" x14ac:dyDescent="0.25">
      <c r="B35" s="437"/>
      <c r="C35" s="21" t="s">
        <v>64</v>
      </c>
      <c r="D35" s="16">
        <v>1.5</v>
      </c>
      <c r="E35" s="16">
        <v>1.35</v>
      </c>
      <c r="F35" s="16">
        <v>1.35</v>
      </c>
      <c r="G35" s="16">
        <v>1</v>
      </c>
      <c r="H35" s="16">
        <v>1</v>
      </c>
      <c r="I35" s="16">
        <v>0.9</v>
      </c>
      <c r="J35" s="16">
        <v>0.9</v>
      </c>
      <c r="K35" s="16">
        <v>0.75</v>
      </c>
      <c r="L35" s="16">
        <v>0.75</v>
      </c>
    </row>
    <row r="36" spans="2:12" x14ac:dyDescent="0.25">
      <c r="B36" s="437"/>
      <c r="C36" s="21" t="s">
        <v>65</v>
      </c>
      <c r="D36" s="16">
        <v>1.5</v>
      </c>
      <c r="E36" s="16">
        <v>1.35</v>
      </c>
      <c r="F36" s="16">
        <v>1.35</v>
      </c>
      <c r="G36" s="16">
        <v>1</v>
      </c>
      <c r="H36" s="16">
        <v>1</v>
      </c>
      <c r="I36" s="16">
        <v>0.9</v>
      </c>
      <c r="J36" s="16">
        <v>0.9</v>
      </c>
      <c r="K36" s="16">
        <v>0.75</v>
      </c>
      <c r="L36" s="16">
        <v>0.75</v>
      </c>
    </row>
    <row r="37" spans="2:12" x14ac:dyDescent="0.25">
      <c r="B37" s="437"/>
      <c r="C37" s="21" t="s">
        <v>66</v>
      </c>
      <c r="D37" s="16">
        <v>1.5</v>
      </c>
      <c r="E37" s="16">
        <v>1.35</v>
      </c>
      <c r="F37" s="16">
        <v>1.35</v>
      </c>
      <c r="G37" s="16">
        <v>1</v>
      </c>
      <c r="H37" s="16">
        <v>1</v>
      </c>
      <c r="I37" s="16">
        <v>0.9</v>
      </c>
      <c r="J37" s="16">
        <v>0.9</v>
      </c>
      <c r="K37" s="16">
        <v>0.75</v>
      </c>
      <c r="L37" s="16">
        <v>0.75</v>
      </c>
    </row>
    <row r="38" spans="2:12" x14ac:dyDescent="0.25">
      <c r="B38" s="437"/>
      <c r="C38" s="21" t="s">
        <v>67</v>
      </c>
      <c r="D38" s="16">
        <v>1.5</v>
      </c>
      <c r="E38" s="16">
        <v>1.35</v>
      </c>
      <c r="F38" s="16">
        <v>1.35</v>
      </c>
      <c r="G38" s="16">
        <v>1</v>
      </c>
      <c r="H38" s="16">
        <v>1</v>
      </c>
      <c r="I38" s="16">
        <v>0.9</v>
      </c>
      <c r="J38" s="16">
        <v>0.9</v>
      </c>
      <c r="K38" s="16">
        <v>0.75</v>
      </c>
      <c r="L38" s="16">
        <v>0.75</v>
      </c>
    </row>
    <row r="39" spans="2:12" x14ac:dyDescent="0.25">
      <c r="B39" s="437"/>
      <c r="C39" s="21" t="s">
        <v>68</v>
      </c>
      <c r="D39" s="16">
        <v>1.5</v>
      </c>
      <c r="E39" s="16">
        <v>1.35</v>
      </c>
      <c r="F39" s="16">
        <v>1.35</v>
      </c>
      <c r="G39" s="16">
        <v>1</v>
      </c>
      <c r="H39" s="16">
        <v>1</v>
      </c>
      <c r="I39" s="16">
        <v>0.9</v>
      </c>
      <c r="J39" s="16">
        <v>0.9</v>
      </c>
      <c r="K39" s="16">
        <v>0.75</v>
      </c>
      <c r="L39" s="16">
        <v>0.75</v>
      </c>
    </row>
    <row r="40" spans="2:12" x14ac:dyDescent="0.25">
      <c r="B40" s="437"/>
      <c r="C40" s="21" t="s">
        <v>69</v>
      </c>
      <c r="D40" s="16">
        <v>1.5</v>
      </c>
      <c r="E40" s="16">
        <v>1.5</v>
      </c>
      <c r="F40" s="16">
        <v>1.5</v>
      </c>
      <c r="G40" s="16">
        <v>1.5</v>
      </c>
      <c r="H40" s="16">
        <v>1.5</v>
      </c>
      <c r="I40" s="22">
        <v>1.35</v>
      </c>
      <c r="J40" s="22">
        <v>1.35</v>
      </c>
      <c r="K40" s="16">
        <v>1.35</v>
      </c>
      <c r="L40" s="16">
        <v>1.35</v>
      </c>
    </row>
    <row r="41" spans="2:12" x14ac:dyDescent="0.25">
      <c r="B41" s="437"/>
      <c r="C41" s="21" t="s">
        <v>70</v>
      </c>
      <c r="D41" s="16">
        <v>1.5</v>
      </c>
      <c r="E41" s="16">
        <v>1.5</v>
      </c>
      <c r="F41" s="16">
        <v>1.5</v>
      </c>
      <c r="G41" s="23">
        <v>1.4999999999999999E-2</v>
      </c>
      <c r="H41" s="23">
        <v>1.4999999999999999E-2</v>
      </c>
      <c r="I41" s="22">
        <v>1.35</v>
      </c>
      <c r="J41" s="22">
        <v>1.35</v>
      </c>
      <c r="K41" s="16">
        <v>1.35</v>
      </c>
      <c r="L41" s="16">
        <v>1.35</v>
      </c>
    </row>
    <row r="42" spans="2:12" x14ac:dyDescent="0.25">
      <c r="B42" s="437"/>
      <c r="C42" s="21" t="s">
        <v>71</v>
      </c>
      <c r="D42" s="16">
        <v>1.5</v>
      </c>
      <c r="E42" s="16">
        <v>1.5</v>
      </c>
      <c r="F42" s="16">
        <v>1.5</v>
      </c>
      <c r="G42" s="23">
        <v>1.4999999999999999E-2</v>
      </c>
      <c r="H42" s="23">
        <v>1.4999999999999999E-2</v>
      </c>
      <c r="I42" s="22">
        <v>1.35</v>
      </c>
      <c r="J42" s="22">
        <v>1.35</v>
      </c>
      <c r="K42" s="16">
        <v>1.35</v>
      </c>
      <c r="L42" s="16">
        <v>1.35</v>
      </c>
    </row>
    <row r="43" spans="2:12" x14ac:dyDescent="0.25">
      <c r="B43" s="437"/>
      <c r="C43" s="21" t="s">
        <v>72</v>
      </c>
      <c r="D43" s="16">
        <v>1</v>
      </c>
      <c r="E43" s="16">
        <v>1</v>
      </c>
      <c r="F43" s="16">
        <v>1</v>
      </c>
      <c r="G43" s="16">
        <v>0.7</v>
      </c>
      <c r="H43" s="16">
        <v>0.7</v>
      </c>
      <c r="I43" s="16">
        <v>0.7</v>
      </c>
      <c r="J43" s="16">
        <v>0.7</v>
      </c>
      <c r="K43" s="16">
        <v>0.65</v>
      </c>
      <c r="L43" s="16">
        <v>0.65</v>
      </c>
    </row>
    <row r="44" spans="2:12" x14ac:dyDescent="0.25">
      <c r="B44" s="437"/>
      <c r="C44" s="21" t="s">
        <v>73</v>
      </c>
      <c r="D44" s="16">
        <v>1</v>
      </c>
      <c r="E44" s="16">
        <v>1</v>
      </c>
      <c r="F44" s="16">
        <v>1</v>
      </c>
      <c r="G44" s="16">
        <v>0.7</v>
      </c>
      <c r="H44" s="16">
        <v>0.7</v>
      </c>
      <c r="I44" s="16">
        <v>0.7</v>
      </c>
      <c r="J44" s="16">
        <v>0.7</v>
      </c>
      <c r="K44" s="16">
        <v>0.65</v>
      </c>
      <c r="L44" s="16">
        <v>0.65</v>
      </c>
    </row>
    <row r="45" spans="2:12" x14ac:dyDescent="0.25">
      <c r="B45" s="437"/>
      <c r="C45" s="21" t="s">
        <v>74</v>
      </c>
      <c r="D45" s="16">
        <v>1</v>
      </c>
      <c r="E45" s="16">
        <v>1</v>
      </c>
      <c r="F45" s="16">
        <v>1</v>
      </c>
      <c r="G45" s="16">
        <v>0.7</v>
      </c>
      <c r="H45" s="16">
        <v>0.7</v>
      </c>
      <c r="I45" s="16">
        <v>0.7</v>
      </c>
      <c r="J45" s="16">
        <v>0.7</v>
      </c>
      <c r="K45" s="16">
        <v>0.65</v>
      </c>
      <c r="L45" s="16">
        <v>0.65</v>
      </c>
    </row>
    <row r="46" spans="2:12" x14ac:dyDescent="0.25">
      <c r="B46" s="438"/>
      <c r="C46" s="21" t="s">
        <v>75</v>
      </c>
      <c r="D46" s="16">
        <v>1</v>
      </c>
      <c r="E46" s="16">
        <v>1</v>
      </c>
      <c r="F46" s="16">
        <v>1</v>
      </c>
      <c r="G46" s="16">
        <v>0.7</v>
      </c>
      <c r="H46" s="16">
        <v>0.7</v>
      </c>
      <c r="I46" s="16">
        <v>0.7</v>
      </c>
      <c r="J46" s="16">
        <v>0.7</v>
      </c>
      <c r="K46" s="16">
        <v>0.65</v>
      </c>
      <c r="L46" s="16">
        <v>0.65</v>
      </c>
    </row>
    <row r="47" spans="2:12" x14ac:dyDescent="0.25">
      <c r="B47" s="2"/>
    </row>
    <row r="48" spans="2:12" x14ac:dyDescent="0.25">
      <c r="B48" s="436" t="s">
        <v>81</v>
      </c>
      <c r="C48" s="4" t="s">
        <v>61</v>
      </c>
      <c r="D48" s="10" t="s">
        <v>46</v>
      </c>
      <c r="E48" s="10" t="s">
        <v>47</v>
      </c>
      <c r="F48" s="10" t="s">
        <v>48</v>
      </c>
      <c r="G48" s="10" t="s">
        <v>49</v>
      </c>
      <c r="H48" s="10" t="s">
        <v>50</v>
      </c>
      <c r="I48" s="10" t="s">
        <v>39</v>
      </c>
      <c r="J48" s="10" t="s">
        <v>51</v>
      </c>
      <c r="K48" s="10" t="s">
        <v>52</v>
      </c>
      <c r="L48" s="10" t="s">
        <v>53</v>
      </c>
    </row>
    <row r="49" spans="1:12" x14ac:dyDescent="0.25">
      <c r="B49" s="437"/>
      <c r="C49" s="5" t="s">
        <v>21</v>
      </c>
      <c r="D49" s="6"/>
      <c r="E49" s="6"/>
      <c r="F49" s="6"/>
      <c r="G49" s="6"/>
      <c r="H49" s="8"/>
      <c r="I49" s="7"/>
      <c r="J49" s="7"/>
      <c r="K49" s="7"/>
      <c r="L49" s="7"/>
    </row>
    <row r="50" spans="1:12" x14ac:dyDescent="0.25">
      <c r="B50" s="437"/>
      <c r="C50" s="5" t="s">
        <v>41</v>
      </c>
      <c r="D50" s="6"/>
      <c r="E50" s="6"/>
      <c r="F50" s="6"/>
      <c r="G50" s="6"/>
      <c r="H50" s="8"/>
      <c r="I50" s="7"/>
      <c r="J50" s="7"/>
      <c r="K50" s="7"/>
      <c r="L50" s="7"/>
    </row>
    <row r="51" spans="1:12" x14ac:dyDescent="0.25">
      <c r="B51" s="437"/>
      <c r="C51" s="5" t="s">
        <v>42</v>
      </c>
      <c r="D51" s="6"/>
      <c r="E51" s="6"/>
      <c r="F51" s="6"/>
      <c r="G51" s="6"/>
      <c r="H51" s="8"/>
      <c r="I51" s="7"/>
      <c r="J51" s="7"/>
      <c r="K51" s="7"/>
      <c r="L51" s="7"/>
    </row>
    <row r="52" spans="1:12" x14ac:dyDescent="0.25">
      <c r="B52" s="437"/>
      <c r="C52" s="5" t="s">
        <v>43</v>
      </c>
      <c r="D52" s="6"/>
      <c r="E52" s="6"/>
      <c r="F52" s="6"/>
      <c r="G52" s="6"/>
      <c r="H52" s="8"/>
      <c r="I52" s="7"/>
      <c r="J52" s="7"/>
      <c r="K52" s="7"/>
      <c r="L52" s="7"/>
    </row>
    <row r="53" spans="1:12" x14ac:dyDescent="0.25">
      <c r="B53" s="437"/>
      <c r="C53" s="5" t="s">
        <v>77</v>
      </c>
      <c r="D53" s="6"/>
      <c r="E53" s="6"/>
      <c r="F53" s="6"/>
      <c r="G53" s="6"/>
      <c r="H53" s="8"/>
      <c r="I53" s="7"/>
      <c r="J53" s="7"/>
      <c r="K53" s="7"/>
      <c r="L53" s="7"/>
    </row>
    <row r="54" spans="1:12" x14ac:dyDescent="0.25">
      <c r="B54" s="438"/>
      <c r="C54" s="5" t="s">
        <v>78</v>
      </c>
      <c r="D54" s="6"/>
      <c r="E54" s="6"/>
      <c r="F54" s="6"/>
      <c r="G54" s="6"/>
      <c r="H54" s="8"/>
      <c r="I54" s="7"/>
      <c r="J54" s="7"/>
      <c r="K54" s="7"/>
      <c r="L54" s="7"/>
    </row>
    <row r="55" spans="1:12" x14ac:dyDescent="0.25">
      <c r="B55" s="2"/>
    </row>
    <row r="56" spans="1:12" x14ac:dyDescent="0.25">
      <c r="B56" s="440" t="s">
        <v>149</v>
      </c>
      <c r="C56" s="4" t="s">
        <v>61</v>
      </c>
      <c r="D56" s="10" t="s">
        <v>46</v>
      </c>
      <c r="E56" s="10" t="s">
        <v>47</v>
      </c>
      <c r="F56" s="10" t="s">
        <v>48</v>
      </c>
      <c r="G56" s="10" t="s">
        <v>49</v>
      </c>
      <c r="H56" s="10" t="s">
        <v>50</v>
      </c>
      <c r="I56" s="10" t="s">
        <v>39</v>
      </c>
      <c r="J56" s="10" t="s">
        <v>51</v>
      </c>
      <c r="K56" s="10" t="s">
        <v>52</v>
      </c>
      <c r="L56" s="10" t="s">
        <v>53</v>
      </c>
    </row>
    <row r="57" spans="1:12" x14ac:dyDescent="0.25">
      <c r="B57" s="437"/>
      <c r="C57" s="5" t="s">
        <v>21</v>
      </c>
      <c r="D57" s="6"/>
      <c r="E57" s="15">
        <v>0.5</v>
      </c>
      <c r="F57" s="16">
        <v>0.48</v>
      </c>
      <c r="G57" s="16">
        <v>0.46</v>
      </c>
      <c r="H57" s="16">
        <v>0.44</v>
      </c>
      <c r="I57" s="16">
        <v>0.42</v>
      </c>
      <c r="J57" s="16">
        <v>0.4</v>
      </c>
      <c r="K57" s="16">
        <v>0.38</v>
      </c>
      <c r="L57" s="16">
        <v>0.36</v>
      </c>
    </row>
    <row r="58" spans="1:12" x14ac:dyDescent="0.25">
      <c r="B58" s="437"/>
      <c r="C58" s="5" t="s">
        <v>41</v>
      </c>
      <c r="D58" s="6"/>
      <c r="E58" s="15">
        <v>0.5</v>
      </c>
      <c r="F58" s="16">
        <v>0.47</v>
      </c>
      <c r="G58" s="16">
        <v>0.44</v>
      </c>
      <c r="H58" s="16">
        <v>0.41</v>
      </c>
      <c r="I58" s="16">
        <v>0.38</v>
      </c>
      <c r="J58" s="16">
        <v>0.35</v>
      </c>
      <c r="K58" s="16">
        <v>0.32</v>
      </c>
      <c r="L58" s="16">
        <v>0.28999999999999998</v>
      </c>
    </row>
    <row r="59" spans="1:12" x14ac:dyDescent="0.25">
      <c r="B59" s="437"/>
      <c r="C59" s="5" t="s">
        <v>42</v>
      </c>
      <c r="D59" s="6"/>
      <c r="E59" s="15">
        <v>0.75</v>
      </c>
      <c r="F59" s="16">
        <v>0.72</v>
      </c>
      <c r="G59" s="16">
        <v>0.69</v>
      </c>
      <c r="H59" s="16">
        <v>0.66</v>
      </c>
      <c r="I59" s="16">
        <v>0.63</v>
      </c>
      <c r="J59" s="16">
        <v>0.6</v>
      </c>
      <c r="K59" s="16">
        <v>0.56999999999999995</v>
      </c>
      <c r="L59" s="16">
        <v>0.54</v>
      </c>
    </row>
    <row r="60" spans="1:12" x14ac:dyDescent="0.25">
      <c r="B60" s="17"/>
      <c r="C60" s="5" t="s">
        <v>43</v>
      </c>
      <c r="D60" s="6"/>
      <c r="E60" s="6"/>
      <c r="F60" s="6"/>
      <c r="G60" s="6"/>
      <c r="H60" s="8"/>
      <c r="I60" s="6"/>
      <c r="J60" s="6"/>
      <c r="K60" s="6"/>
      <c r="L60" s="6"/>
    </row>
    <row r="61" spans="1:12" x14ac:dyDescent="0.25">
      <c r="B61" s="12"/>
      <c r="C61" s="5" t="s">
        <v>77</v>
      </c>
      <c r="D61" s="6"/>
      <c r="E61" s="6"/>
      <c r="F61" s="6"/>
      <c r="G61" s="6"/>
      <c r="H61" s="8"/>
      <c r="I61" s="6"/>
      <c r="J61" s="6"/>
      <c r="K61" s="6"/>
      <c r="L61" s="6"/>
    </row>
    <row r="62" spans="1:12" x14ac:dyDescent="0.25">
      <c r="B62" s="13"/>
      <c r="C62" s="5" t="s">
        <v>78</v>
      </c>
      <c r="D62" s="6"/>
      <c r="E62" s="6"/>
      <c r="F62" s="6"/>
      <c r="G62" s="6"/>
      <c r="H62" s="8"/>
      <c r="I62" s="6"/>
      <c r="J62" s="6"/>
      <c r="K62" s="6"/>
      <c r="L62" s="6"/>
    </row>
    <row r="63" spans="1:12" x14ac:dyDescent="0.25">
      <c r="B63" s="2"/>
    </row>
    <row r="64" spans="1:12" x14ac:dyDescent="0.25">
      <c r="A64" s="3" t="str">
        <f>Model!I9</f>
        <v>Order CM-SMV-Cents</v>
      </c>
      <c r="B64" s="436" t="s">
        <v>0</v>
      </c>
      <c r="C64" s="5" t="s">
        <v>21</v>
      </c>
      <c r="D64" s="16">
        <f>D57+D49+D25+D17+D11+D5</f>
        <v>0</v>
      </c>
      <c r="E64" s="16">
        <f t="shared" ref="E64:L64" si="0">E57+E49+E25+E17+E11+E5</f>
        <v>2</v>
      </c>
      <c r="F64" s="16">
        <f t="shared" si="0"/>
        <v>1.91</v>
      </c>
      <c r="G64" s="16">
        <f t="shared" si="0"/>
        <v>1.82</v>
      </c>
      <c r="H64" s="16">
        <f t="shared" si="0"/>
        <v>1.73</v>
      </c>
      <c r="I64" s="16">
        <f t="shared" si="0"/>
        <v>1.64</v>
      </c>
      <c r="J64" s="16">
        <f t="shared" si="0"/>
        <v>1.5499999999999998</v>
      </c>
      <c r="K64" s="16">
        <f t="shared" si="0"/>
        <v>1.46</v>
      </c>
      <c r="L64" s="16">
        <f t="shared" si="0"/>
        <v>1.37</v>
      </c>
    </row>
    <row r="65" spans="2:12" x14ac:dyDescent="0.25">
      <c r="B65" s="437"/>
      <c r="C65" s="5" t="s">
        <v>41</v>
      </c>
      <c r="D65" s="16">
        <f t="shared" ref="D65:L65" si="1">D58+D50+D26+D18+D12+D6</f>
        <v>0</v>
      </c>
      <c r="E65" s="16">
        <f t="shared" si="1"/>
        <v>2.6500000000000004</v>
      </c>
      <c r="F65" s="16">
        <f t="shared" si="1"/>
        <v>2.5100000000000002</v>
      </c>
      <c r="G65" s="16">
        <f t="shared" si="1"/>
        <v>2.37</v>
      </c>
      <c r="H65" s="16">
        <f t="shared" si="1"/>
        <v>2.23</v>
      </c>
      <c r="I65" s="16">
        <f t="shared" si="1"/>
        <v>2.09</v>
      </c>
      <c r="J65" s="16">
        <f t="shared" si="1"/>
        <v>1.95</v>
      </c>
      <c r="K65" s="16">
        <f t="shared" si="1"/>
        <v>1.8100000000000009</v>
      </c>
      <c r="L65" s="16">
        <f t="shared" si="1"/>
        <v>1.6700000000000013</v>
      </c>
    </row>
    <row r="66" spans="2:12" x14ac:dyDescent="0.25">
      <c r="B66" s="437"/>
      <c r="C66" s="5" t="s">
        <v>42</v>
      </c>
      <c r="D66" s="16">
        <f t="shared" ref="D66:L66" si="2">D59+D51+D27+D19+D13+D7</f>
        <v>0</v>
      </c>
      <c r="E66" s="16">
        <f t="shared" si="2"/>
        <v>3.5000000000000004</v>
      </c>
      <c r="F66" s="16">
        <f t="shared" si="2"/>
        <v>3.32</v>
      </c>
      <c r="G66" s="16">
        <f t="shared" si="2"/>
        <v>3.14</v>
      </c>
      <c r="H66" s="16">
        <f t="shared" si="2"/>
        <v>2.96</v>
      </c>
      <c r="I66" s="16">
        <f t="shared" si="2"/>
        <v>2.78</v>
      </c>
      <c r="J66" s="16">
        <f t="shared" si="2"/>
        <v>2.6</v>
      </c>
      <c r="K66" s="16">
        <f t="shared" si="2"/>
        <v>2.42</v>
      </c>
      <c r="L66" s="16">
        <f t="shared" si="2"/>
        <v>2.2400000000000011</v>
      </c>
    </row>
    <row r="67" spans="2:12" x14ac:dyDescent="0.25">
      <c r="B67" s="437"/>
      <c r="C67" s="5" t="s">
        <v>43</v>
      </c>
      <c r="D67" s="16">
        <f t="shared" ref="D67:L67" si="3">D60+D52+D28+D20+D14+D8</f>
        <v>0</v>
      </c>
      <c r="E67" s="16">
        <f t="shared" si="3"/>
        <v>0</v>
      </c>
      <c r="F67" s="16">
        <f t="shared" si="3"/>
        <v>0</v>
      </c>
      <c r="G67" s="16">
        <f t="shared" si="3"/>
        <v>0</v>
      </c>
      <c r="H67" s="16">
        <f t="shared" si="3"/>
        <v>0</v>
      </c>
      <c r="I67" s="16">
        <f t="shared" si="3"/>
        <v>0</v>
      </c>
      <c r="J67" s="16">
        <f t="shared" si="3"/>
        <v>0</v>
      </c>
      <c r="K67" s="16">
        <f t="shared" si="3"/>
        <v>0</v>
      </c>
      <c r="L67" s="16">
        <f t="shared" si="3"/>
        <v>0</v>
      </c>
    </row>
    <row r="68" spans="2:12" x14ac:dyDescent="0.25">
      <c r="B68" s="438"/>
    </row>
  </sheetData>
  <mergeCells count="9">
    <mergeCell ref="B48:B54"/>
    <mergeCell ref="B64:B68"/>
    <mergeCell ref="C2:L2"/>
    <mergeCell ref="B4:B8"/>
    <mergeCell ref="B10:B14"/>
    <mergeCell ref="B16:B22"/>
    <mergeCell ref="B24:B28"/>
    <mergeCell ref="B32:B46"/>
    <mergeCell ref="B56:B5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Y104"/>
  <sheetViews>
    <sheetView showGridLines="0" tabSelected="1" zoomScaleNormal="100" workbookViewId="0"/>
  </sheetViews>
  <sheetFormatPr defaultColWidth="8.77734375" defaultRowHeight="13.2" x14ac:dyDescent="0.25"/>
  <cols>
    <col min="1" max="1" width="6.88671875" style="103" bestFit="1" customWidth="1"/>
    <col min="2" max="2" width="2.109375" style="103" customWidth="1"/>
    <col min="3" max="3" width="26.109375" style="103" customWidth="1"/>
    <col min="4" max="4" width="16.6640625" style="103" bestFit="1" customWidth="1"/>
    <col min="5" max="5" width="10" style="103" bestFit="1" customWidth="1"/>
    <col min="6" max="6" width="18.6640625" style="103" bestFit="1" customWidth="1"/>
    <col min="7" max="7" width="18.88671875" style="103" bestFit="1" customWidth="1"/>
    <col min="8" max="8" width="0.6640625" style="103" customWidth="1"/>
    <col min="9" max="9" width="21.44140625" style="103" bestFit="1" customWidth="1"/>
    <col min="10" max="10" width="23.44140625" style="103" bestFit="1" customWidth="1"/>
    <col min="11" max="11" width="14.5546875" style="103" customWidth="1"/>
    <col min="12" max="13" width="7.88671875" style="103" customWidth="1"/>
    <col min="14" max="14" width="9.44140625" style="103" bestFit="1" customWidth="1"/>
    <col min="15" max="15" width="10.33203125" style="103" bestFit="1" customWidth="1"/>
    <col min="16" max="16" width="1.88671875" style="103" customWidth="1"/>
    <col min="17" max="17" width="10.21875" style="103" bestFit="1" customWidth="1"/>
    <col min="18" max="19" width="8.77734375" style="103"/>
    <col min="20" max="20" width="11.44140625" style="103" bestFit="1" customWidth="1"/>
    <col min="21" max="21" width="14.109375" style="103" bestFit="1" customWidth="1"/>
    <col min="22" max="22" width="8.77734375" style="103"/>
    <col min="23" max="23" width="14.109375" style="103" bestFit="1" customWidth="1"/>
    <col min="24" max="24" width="8.77734375" style="103"/>
    <col min="25" max="25" width="9.44140625" style="103" bestFit="1" customWidth="1"/>
    <col min="26" max="16384" width="8.77734375" style="103"/>
  </cols>
  <sheetData>
    <row r="1" spans="1:23" ht="13.8" thickBot="1" x14ac:dyDescent="0.3"/>
    <row r="2" spans="1:23" ht="13.8" thickBot="1" x14ac:dyDescent="0.3">
      <c r="B2" s="145"/>
      <c r="C2" s="146"/>
      <c r="D2" s="146"/>
      <c r="E2" s="146"/>
      <c r="F2" s="146"/>
      <c r="G2" s="146"/>
      <c r="H2" s="146"/>
      <c r="I2" s="146"/>
      <c r="J2" s="147"/>
      <c r="K2" s="147"/>
      <c r="L2" s="147"/>
      <c r="M2" s="147"/>
      <c r="N2" s="146"/>
      <c r="O2" s="146"/>
      <c r="P2" s="148"/>
    </row>
    <row r="3" spans="1:23" ht="45" thickBot="1" x14ac:dyDescent="0.75">
      <c r="B3" s="149"/>
      <c r="C3" s="444" t="s">
        <v>249</v>
      </c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6"/>
      <c r="P3" s="150"/>
    </row>
    <row r="4" spans="1:23" ht="28.2" thickBot="1" x14ac:dyDescent="0.5">
      <c r="B4" s="149"/>
      <c r="C4" s="441" t="s">
        <v>36</v>
      </c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3"/>
      <c r="P4" s="150"/>
    </row>
    <row r="5" spans="1:23" x14ac:dyDescent="0.25">
      <c r="A5" s="141"/>
      <c r="B5" s="149"/>
      <c r="C5" s="254" t="s">
        <v>150</v>
      </c>
      <c r="D5" s="92">
        <f ca="1">TODAY()</f>
        <v>46228</v>
      </c>
      <c r="E5" s="151"/>
      <c r="F5" s="256" t="s">
        <v>151</v>
      </c>
      <c r="G5" s="93">
        <f ca="1">TODAY()</f>
        <v>46228</v>
      </c>
      <c r="I5" s="250" t="s">
        <v>152</v>
      </c>
      <c r="J5" s="107">
        <f>((E20-E56)+(E20-E56-J6)*(O12+O13+O14+S5))/90%*100%</f>
        <v>25.357664746056319</v>
      </c>
      <c r="K5" s="250" t="s">
        <v>243</v>
      </c>
      <c r="L5" s="100"/>
      <c r="M5" s="100"/>
      <c r="N5" s="100"/>
      <c r="O5" s="24">
        <f>($O$6*$J$13/$J$11)/(1+$D$15)*100</f>
        <v>0.72548107687169916</v>
      </c>
      <c r="P5" s="150"/>
      <c r="Q5" s="144"/>
      <c r="R5" s="143"/>
      <c r="S5" s="144"/>
      <c r="T5" s="141"/>
    </row>
    <row r="6" spans="1:23" x14ac:dyDescent="0.25">
      <c r="B6" s="149"/>
      <c r="C6" s="250" t="s">
        <v>153</v>
      </c>
      <c r="D6" s="100" t="s">
        <v>132</v>
      </c>
      <c r="E6" s="100"/>
      <c r="F6" s="257" t="s">
        <v>154</v>
      </c>
      <c r="G6" s="25" t="s">
        <v>155</v>
      </c>
      <c r="I6" s="250" t="s">
        <v>156</v>
      </c>
      <c r="J6" s="26">
        <v>22.9</v>
      </c>
      <c r="K6" s="250" t="s">
        <v>244</v>
      </c>
      <c r="L6" s="100"/>
      <c r="M6" s="100"/>
      <c r="N6" s="100"/>
      <c r="O6" s="60">
        <f>E53</f>
        <v>0.45769373996311863</v>
      </c>
      <c r="P6" s="150"/>
      <c r="T6" s="141"/>
    </row>
    <row r="7" spans="1:23" x14ac:dyDescent="0.25">
      <c r="B7" s="149"/>
      <c r="C7" s="250" t="s">
        <v>157</v>
      </c>
      <c r="D7" s="100" t="s">
        <v>185</v>
      </c>
      <c r="E7" s="153"/>
      <c r="F7" s="212" t="s">
        <v>158</v>
      </c>
      <c r="G7" s="27" t="s">
        <v>159</v>
      </c>
      <c r="H7" s="100"/>
      <c r="I7" s="250" t="s">
        <v>160</v>
      </c>
      <c r="J7" s="28">
        <f>(J6)-((SUM(E21:E28)+E40))</f>
        <v>4.9468374486396449</v>
      </c>
      <c r="K7" s="250" t="s">
        <v>246</v>
      </c>
      <c r="L7" s="100"/>
      <c r="M7" s="100"/>
      <c r="N7" s="100"/>
      <c r="O7" s="24">
        <f>($O$8*$J$13/$J$11)*100</f>
        <v>0.12326487852489751</v>
      </c>
      <c r="P7" s="150"/>
      <c r="Q7" s="144"/>
    </row>
    <row r="8" spans="1:23" x14ac:dyDescent="0.25">
      <c r="B8" s="149"/>
      <c r="C8" s="250" t="s">
        <v>161</v>
      </c>
      <c r="D8" s="100" t="s">
        <v>162</v>
      </c>
      <c r="E8" s="100"/>
      <c r="F8" s="101" t="s">
        <v>163</v>
      </c>
      <c r="G8" s="29" t="s">
        <v>264</v>
      </c>
      <c r="H8" s="101"/>
      <c r="I8" s="251" t="s">
        <v>164</v>
      </c>
      <c r="J8" s="59">
        <f>((J5-(J5*SUM(O12:O14)))-E40)*(J13/J11)*100</f>
        <v>12.037166560229595</v>
      </c>
      <c r="K8" s="250" t="s">
        <v>245</v>
      </c>
      <c r="L8" s="100"/>
      <c r="M8" s="100"/>
      <c r="N8" s="100"/>
      <c r="O8" s="60">
        <f>E56</f>
        <v>7.4667044502209193E-2</v>
      </c>
      <c r="P8" s="150"/>
      <c r="Q8" s="144"/>
      <c r="R8" s="144"/>
      <c r="S8" s="144"/>
    </row>
    <row r="9" spans="1:23" ht="13.8" thickBot="1" x14ac:dyDescent="0.3">
      <c r="B9" s="149"/>
      <c r="C9" s="250" t="s">
        <v>165</v>
      </c>
      <c r="D9" s="100" t="s">
        <v>189</v>
      </c>
      <c r="E9" s="100"/>
      <c r="F9" s="100" t="s">
        <v>255</v>
      </c>
      <c r="G9" s="97"/>
      <c r="H9" s="154"/>
      <c r="I9" s="252" t="s">
        <v>166</v>
      </c>
      <c r="J9" s="30">
        <f>($J$7*$J$13/$J$11)*100</f>
        <v>8.1665388158083356</v>
      </c>
      <c r="K9" s="253" t="s">
        <v>247</v>
      </c>
      <c r="L9" s="94"/>
      <c r="M9" s="94"/>
      <c r="N9" s="94"/>
      <c r="O9" s="108">
        <f>G56</f>
        <v>3.4177878709826335E-3</v>
      </c>
      <c r="P9" s="150"/>
      <c r="Q9" s="143"/>
    </row>
    <row r="10" spans="1:23" ht="13.8" thickBot="1" x14ac:dyDescent="0.3">
      <c r="B10" s="149"/>
      <c r="C10" s="250" t="s">
        <v>2</v>
      </c>
      <c r="D10" s="212" t="str">
        <f>IF($D$11&gt;=125000,"Capacity Qty",IF(AND(D11&lt;=500),"&lt;=500",IF(AND(D11&gt;500,D11&lt;=1000),"501-1000",IF(AND(D11&gt;1000,D11&lt;=2000),"1001-2000",IF(AND(D11&gt;2000,D11&lt;=3000),"2001-3000",IF(AND(D11&gt;3000,D11&lt;=4000),"3001-4000",IF(AND(D11&gt;4000,D11&lt;=5000),"4001-5000",IF(AND(D11&gt;5000,D11&lt;=10000),"5001-10000",IF(AND(D11&gt;10000,D11&lt;=25000),"10001-25000",IF(D11&gt;25000,"&gt;25000"))))))))))</f>
        <v>&lt;=500</v>
      </c>
      <c r="E10" s="100"/>
      <c r="F10" s="100" t="s">
        <v>252</v>
      </c>
      <c r="G10" s="97"/>
      <c r="H10" s="154"/>
      <c r="I10" s="156"/>
      <c r="J10" s="157"/>
      <c r="K10" s="158"/>
      <c r="L10" s="159"/>
      <c r="M10" s="159"/>
      <c r="N10" s="159"/>
      <c r="O10" s="160"/>
      <c r="P10" s="150"/>
    </row>
    <row r="11" spans="1:23" x14ac:dyDescent="0.25">
      <c r="B11" s="149"/>
      <c r="C11" s="250" t="s">
        <v>167</v>
      </c>
      <c r="D11" s="36">
        <v>219</v>
      </c>
      <c r="E11" s="100"/>
      <c r="F11" s="100" t="s">
        <v>168</v>
      </c>
      <c r="G11" s="27" t="s">
        <v>169</v>
      </c>
      <c r="H11" s="100"/>
      <c r="I11" s="255" t="s">
        <v>170</v>
      </c>
      <c r="J11" s="31">
        <v>28.47</v>
      </c>
      <c r="K11" s="254" t="s">
        <v>204</v>
      </c>
      <c r="L11" s="161"/>
      <c r="M11" s="161"/>
      <c r="N11" s="161"/>
      <c r="O11" s="162">
        <v>0</v>
      </c>
      <c r="P11" s="150"/>
    </row>
    <row r="12" spans="1:23" x14ac:dyDescent="0.25">
      <c r="B12" s="149"/>
      <c r="C12" s="250" t="s">
        <v>171</v>
      </c>
      <c r="D12" s="32">
        <f>+D11/D13</f>
        <v>219</v>
      </c>
      <c r="E12" s="100"/>
      <c r="F12" s="100" t="s">
        <v>172</v>
      </c>
      <c r="G12" s="27" t="s">
        <v>173</v>
      </c>
      <c r="H12" s="100"/>
      <c r="I12" s="250" t="s">
        <v>174</v>
      </c>
      <c r="J12" s="213">
        <v>60</v>
      </c>
      <c r="K12" s="250" t="s">
        <v>29</v>
      </c>
      <c r="L12" s="100"/>
      <c r="M12" s="100"/>
      <c r="N12" s="100"/>
      <c r="O12" s="163">
        <v>2.5000000000000001E-2</v>
      </c>
      <c r="P12" s="150"/>
    </row>
    <row r="13" spans="1:23" x14ac:dyDescent="0.25">
      <c r="B13" s="149"/>
      <c r="C13" s="250" t="s">
        <v>175</v>
      </c>
      <c r="D13" s="33" t="s">
        <v>193</v>
      </c>
      <c r="E13" s="164"/>
      <c r="F13" s="100" t="s">
        <v>176</v>
      </c>
      <c r="G13" s="27" t="s">
        <v>250</v>
      </c>
      <c r="H13" s="100"/>
      <c r="I13" s="250" t="s">
        <v>180</v>
      </c>
      <c r="J13" s="61">
        <f>'Master Grid'!G67</f>
        <v>0.47</v>
      </c>
      <c r="K13" s="250" t="s">
        <v>33</v>
      </c>
      <c r="L13" s="100"/>
      <c r="M13" s="100"/>
      <c r="N13" s="100"/>
      <c r="O13" s="163">
        <f>IF($D$6="Duer",1.25%,0.65%)</f>
        <v>1.2500000000000001E-2</v>
      </c>
      <c r="P13" s="150"/>
      <c r="Q13" s="165"/>
    </row>
    <row r="14" spans="1:23" x14ac:dyDescent="0.25">
      <c r="B14" s="149"/>
      <c r="C14" s="258" t="s">
        <v>177</v>
      </c>
      <c r="D14" s="102" t="s">
        <v>72</v>
      </c>
      <c r="E14" s="166"/>
      <c r="F14" s="100" t="s">
        <v>178</v>
      </c>
      <c r="G14" s="34" t="s">
        <v>179</v>
      </c>
      <c r="H14" s="167"/>
      <c r="I14" s="250"/>
      <c r="J14" s="62"/>
      <c r="K14" s="250" t="s">
        <v>242</v>
      </c>
      <c r="L14" s="100"/>
      <c r="M14" s="100"/>
      <c r="N14" s="100"/>
      <c r="O14" s="163">
        <v>8.5000000000000006E-3</v>
      </c>
      <c r="P14" s="150"/>
      <c r="U14" s="141"/>
      <c r="V14" s="143"/>
      <c r="W14" s="141"/>
    </row>
    <row r="15" spans="1:23" x14ac:dyDescent="0.25">
      <c r="B15" s="149"/>
      <c r="C15" s="258" t="s">
        <v>181</v>
      </c>
      <c r="D15" s="37">
        <f>'Master Grid'!N77%</f>
        <v>4.1500000000000002E-2</v>
      </c>
      <c r="E15" s="100"/>
      <c r="F15" s="100" t="s">
        <v>259</v>
      </c>
      <c r="G15" s="263">
        <v>278</v>
      </c>
      <c r="H15" s="168"/>
      <c r="I15" s="250" t="s">
        <v>183</v>
      </c>
      <c r="J15" s="35">
        <f>($J$12*480/$J$11)*$J$13</f>
        <v>475.44783983140144</v>
      </c>
      <c r="K15" s="250" t="s">
        <v>263</v>
      </c>
      <c r="L15" s="100"/>
      <c r="M15" s="100"/>
      <c r="N15" s="100"/>
      <c r="O15" s="170">
        <v>0.12</v>
      </c>
      <c r="P15" s="150"/>
      <c r="U15" s="141"/>
      <c r="V15" s="143"/>
      <c r="W15" s="141"/>
    </row>
    <row r="16" spans="1:23" x14ac:dyDescent="0.25">
      <c r="B16" s="149"/>
      <c r="C16" s="250" t="s">
        <v>182</v>
      </c>
      <c r="D16" s="171">
        <v>46112</v>
      </c>
      <c r="E16" s="172"/>
      <c r="F16" s="100" t="s">
        <v>260</v>
      </c>
      <c r="G16" s="263">
        <v>278</v>
      </c>
      <c r="H16" s="167"/>
      <c r="I16" s="152"/>
      <c r="J16" s="169"/>
      <c r="K16" s="173"/>
      <c r="O16" s="174"/>
      <c r="P16" s="150"/>
      <c r="U16" s="141"/>
      <c r="V16" s="143"/>
      <c r="W16" s="141"/>
    </row>
    <row r="17" spans="2:25" ht="13.8" thickBot="1" x14ac:dyDescent="0.3">
      <c r="B17" s="149"/>
      <c r="C17" s="158"/>
      <c r="D17" s="159"/>
      <c r="E17" s="159"/>
      <c r="F17" s="94" t="s">
        <v>184</v>
      </c>
      <c r="G17" s="95" t="s">
        <v>201</v>
      </c>
      <c r="H17" s="153"/>
      <c r="I17" s="158"/>
      <c r="J17" s="160"/>
      <c r="K17" s="155"/>
      <c r="L17" s="159"/>
      <c r="M17" s="159"/>
      <c r="N17" s="159"/>
      <c r="O17" s="175"/>
      <c r="P17" s="150"/>
    </row>
    <row r="18" spans="2:25" ht="13.8" thickBot="1" x14ac:dyDescent="0.3">
      <c r="B18" s="149"/>
      <c r="C18" s="214"/>
      <c r="D18" s="214"/>
      <c r="E18" s="214"/>
      <c r="F18" s="214"/>
      <c r="G18" s="214"/>
      <c r="H18" s="153"/>
      <c r="I18" s="153"/>
      <c r="J18" s="153"/>
      <c r="K18" s="153"/>
      <c r="L18" s="153"/>
      <c r="M18" s="153"/>
      <c r="N18" s="153"/>
      <c r="O18" s="153"/>
      <c r="P18" s="150"/>
      <c r="U18" s="141"/>
      <c r="V18" s="142"/>
      <c r="W18" s="141"/>
    </row>
    <row r="19" spans="2:25" x14ac:dyDescent="0.25">
      <c r="B19" s="149"/>
      <c r="C19" s="215"/>
      <c r="D19" s="216" t="s">
        <v>28</v>
      </c>
      <c r="E19" s="216" t="s">
        <v>18</v>
      </c>
      <c r="F19" s="216"/>
      <c r="G19" s="217" t="s">
        <v>3</v>
      </c>
      <c r="H19" s="176"/>
      <c r="I19" s="38" t="s">
        <v>1</v>
      </c>
      <c r="J19" s="39" t="s">
        <v>214</v>
      </c>
      <c r="K19" s="39" t="s">
        <v>215</v>
      </c>
      <c r="L19" s="39" t="s">
        <v>216</v>
      </c>
      <c r="M19" s="39" t="s">
        <v>262</v>
      </c>
      <c r="N19" s="39" t="s">
        <v>261</v>
      </c>
      <c r="O19" s="40" t="s">
        <v>205</v>
      </c>
      <c r="P19" s="150"/>
      <c r="W19" s="141"/>
    </row>
    <row r="20" spans="2:25" x14ac:dyDescent="0.25">
      <c r="B20" s="149"/>
      <c r="C20" s="218" t="s">
        <v>35</v>
      </c>
      <c r="D20" s="63">
        <f>J6*$G$15</f>
        <v>6366.2</v>
      </c>
      <c r="E20" s="64">
        <f t="shared" ref="E20:E26" si="0">D20/$G$15</f>
        <v>22.9</v>
      </c>
      <c r="F20" s="64"/>
      <c r="G20" s="219"/>
      <c r="H20" s="176"/>
      <c r="I20" s="41" t="s">
        <v>206</v>
      </c>
      <c r="J20" s="42" t="s">
        <v>238</v>
      </c>
      <c r="K20" s="43">
        <v>1.35</v>
      </c>
      <c r="L20" s="42" t="s">
        <v>239</v>
      </c>
      <c r="M20" s="43">
        <v>3.6546762589928052</v>
      </c>
      <c r="N20" s="44">
        <f>M20*$G$16</f>
        <v>1015.9999999999999</v>
      </c>
      <c r="O20" s="45">
        <f>K20*N20</f>
        <v>1371.6</v>
      </c>
      <c r="P20" s="150"/>
      <c r="U20" s="144"/>
      <c r="W20" s="141"/>
      <c r="X20" s="144"/>
      <c r="Y20" s="144"/>
    </row>
    <row r="21" spans="2:25" ht="13.8" x14ac:dyDescent="0.3">
      <c r="B21" s="149"/>
      <c r="C21" s="196" t="s">
        <v>29</v>
      </c>
      <c r="D21" s="65">
        <f>D20*O12</f>
        <v>159.155</v>
      </c>
      <c r="E21" s="66">
        <f t="shared" si="0"/>
        <v>0.57250000000000001</v>
      </c>
      <c r="F21" s="66"/>
      <c r="G21" s="67">
        <f t="shared" ref="G21:G24" si="1">E21/E$20</f>
        <v>2.5000000000000001E-2</v>
      </c>
      <c r="H21" s="177"/>
      <c r="I21" s="46" t="s">
        <v>207</v>
      </c>
      <c r="J21" s="47"/>
      <c r="K21" s="48"/>
      <c r="L21" s="47"/>
      <c r="M21" s="47"/>
      <c r="N21" s="48">
        <f t="shared" ref="N21:N25" si="2">M21*$G$16</f>
        <v>0</v>
      </c>
      <c r="O21" s="49">
        <f t="shared" ref="O21:O25" si="3">K21*N21</f>
        <v>0</v>
      </c>
      <c r="P21" s="150"/>
      <c r="U21" s="144"/>
      <c r="W21" s="144"/>
      <c r="Y21" s="165"/>
    </row>
    <row r="22" spans="2:25" ht="13.8" x14ac:dyDescent="0.3">
      <c r="B22" s="149"/>
      <c r="C22" s="196" t="s">
        <v>38</v>
      </c>
      <c r="D22" s="65"/>
      <c r="E22" s="66">
        <f t="shared" si="0"/>
        <v>0</v>
      </c>
      <c r="F22" s="66"/>
      <c r="G22" s="67">
        <f t="shared" si="1"/>
        <v>0</v>
      </c>
      <c r="H22" s="177"/>
      <c r="I22" s="46" t="s">
        <v>207</v>
      </c>
      <c r="J22" s="47"/>
      <c r="K22" s="48"/>
      <c r="L22" s="47"/>
      <c r="M22" s="47"/>
      <c r="N22" s="48">
        <f t="shared" si="2"/>
        <v>0</v>
      </c>
      <c r="O22" s="49">
        <f t="shared" si="3"/>
        <v>0</v>
      </c>
      <c r="P22" s="150"/>
      <c r="U22" s="165"/>
    </row>
    <row r="23" spans="2:25" ht="13.8" x14ac:dyDescent="0.3">
      <c r="B23" s="149"/>
      <c r="C23" s="196" t="s">
        <v>30</v>
      </c>
      <c r="D23" s="65">
        <f>O11*D20</f>
        <v>0</v>
      </c>
      <c r="E23" s="66">
        <f t="shared" si="0"/>
        <v>0</v>
      </c>
      <c r="F23" s="66"/>
      <c r="G23" s="67">
        <f t="shared" si="1"/>
        <v>0</v>
      </c>
      <c r="H23" s="177"/>
      <c r="I23" s="46" t="s">
        <v>208</v>
      </c>
      <c r="J23" s="47"/>
      <c r="K23" s="48"/>
      <c r="L23" s="47"/>
      <c r="M23" s="47"/>
      <c r="N23" s="48">
        <f t="shared" si="2"/>
        <v>0</v>
      </c>
      <c r="O23" s="49">
        <f t="shared" si="3"/>
        <v>0</v>
      </c>
      <c r="P23" s="150"/>
    </row>
    <row r="24" spans="2:25" ht="13.8" x14ac:dyDescent="0.3">
      <c r="B24" s="149"/>
      <c r="C24" s="196" t="s">
        <v>33</v>
      </c>
      <c r="D24" s="65">
        <f>$D$20*O13</f>
        <v>79.577500000000001</v>
      </c>
      <c r="E24" s="220">
        <f t="shared" si="0"/>
        <v>0.28625</v>
      </c>
      <c r="F24" s="220"/>
      <c r="G24" s="68">
        <f t="shared" si="1"/>
        <v>1.2500000000000001E-2</v>
      </c>
      <c r="H24" s="178"/>
      <c r="I24" s="46" t="s">
        <v>209</v>
      </c>
      <c r="J24" s="47"/>
      <c r="K24" s="48"/>
      <c r="L24" s="47"/>
      <c r="M24" s="47"/>
      <c r="N24" s="48">
        <f t="shared" si="2"/>
        <v>0</v>
      </c>
      <c r="O24" s="49"/>
      <c r="P24" s="150"/>
    </row>
    <row r="25" spans="2:25" ht="13.8" x14ac:dyDescent="0.3">
      <c r="B25" s="149"/>
      <c r="C25" s="196" t="s">
        <v>88</v>
      </c>
      <c r="D25" s="65">
        <f>($D$20/365*$O$15*G$9)</f>
        <v>0</v>
      </c>
      <c r="E25" s="220">
        <f t="shared" si="0"/>
        <v>0</v>
      </c>
      <c r="F25" s="220"/>
      <c r="G25" s="68">
        <f>E25/E$20</f>
        <v>0</v>
      </c>
      <c r="H25" s="178"/>
      <c r="I25" s="52" t="s">
        <v>236</v>
      </c>
      <c r="K25" s="53"/>
      <c r="N25" s="53">
        <f t="shared" si="2"/>
        <v>0</v>
      </c>
      <c r="O25" s="54">
        <f t="shared" si="3"/>
        <v>0</v>
      </c>
      <c r="P25" s="150"/>
    </row>
    <row r="26" spans="2:25" ht="14.4" thickBot="1" x14ac:dyDescent="0.35">
      <c r="B26" s="149"/>
      <c r="C26" s="196" t="s">
        <v>242</v>
      </c>
      <c r="D26" s="65">
        <f>$D$20*O14</f>
        <v>54.112700000000004</v>
      </c>
      <c r="E26" s="220">
        <f t="shared" si="0"/>
        <v>0.19465000000000002</v>
      </c>
      <c r="F26" s="220"/>
      <c r="G26" s="68">
        <f>E26/E$20</f>
        <v>8.5000000000000006E-3</v>
      </c>
      <c r="H26" s="178"/>
      <c r="I26" s="55" t="s">
        <v>0</v>
      </c>
      <c r="J26" s="56"/>
      <c r="K26" s="128">
        <f>SUM(K20:K25)</f>
        <v>1.35</v>
      </c>
      <c r="L26" s="56"/>
      <c r="M26" s="128" cm="1">
        <f t="array" ref="M26">SUMPRODUCT($M$20:$M$25,$K$20:$K$25/$K$26)</f>
        <v>3.6546762589928052</v>
      </c>
      <c r="N26" s="129" cm="1">
        <f t="array" ref="N26">SUMPRODUCT($N$20:$N$25,$K$20:$K$25/$K$26)</f>
        <v>1015.9999999999999</v>
      </c>
      <c r="O26" s="57">
        <f>SUM(O20:O25)</f>
        <v>1371.6</v>
      </c>
      <c r="P26" s="150"/>
    </row>
    <row r="27" spans="2:25" ht="13.8" x14ac:dyDescent="0.3">
      <c r="B27" s="149"/>
      <c r="C27" s="196" t="s">
        <v>87</v>
      </c>
      <c r="D27" s="65">
        <f>($D$20/365*$O$15*G$10)</f>
        <v>0</v>
      </c>
      <c r="E27" s="220">
        <f>D27/$G$15</f>
        <v>0</v>
      </c>
      <c r="F27" s="220"/>
      <c r="G27" s="68">
        <f t="shared" ref="G27:G28" si="4">E27/E$20</f>
        <v>0</v>
      </c>
      <c r="H27" s="178"/>
      <c r="I27" s="38" t="s">
        <v>231</v>
      </c>
      <c r="J27" s="39" t="s">
        <v>214</v>
      </c>
      <c r="K27" s="39" t="s">
        <v>215</v>
      </c>
      <c r="L27" s="39" t="s">
        <v>216</v>
      </c>
      <c r="M27" s="39" t="s">
        <v>262</v>
      </c>
      <c r="N27" s="39" t="s">
        <v>261</v>
      </c>
      <c r="O27" s="40" t="s">
        <v>205</v>
      </c>
      <c r="P27" s="150"/>
    </row>
    <row r="28" spans="2:25" ht="13.8" x14ac:dyDescent="0.3">
      <c r="B28" s="149"/>
      <c r="C28" s="196" t="s">
        <v>31</v>
      </c>
      <c r="D28" s="65">
        <v>0</v>
      </c>
      <c r="E28" s="66">
        <f>D28/$G$15</f>
        <v>0</v>
      </c>
      <c r="F28" s="66"/>
      <c r="G28" s="68">
        <f t="shared" si="4"/>
        <v>0</v>
      </c>
      <c r="H28" s="178"/>
      <c r="I28" s="41" t="s">
        <v>210</v>
      </c>
      <c r="J28" s="42" t="s">
        <v>240</v>
      </c>
      <c r="K28" s="43">
        <v>0.1</v>
      </c>
      <c r="L28" s="42" t="s">
        <v>239</v>
      </c>
      <c r="M28" s="43">
        <v>0.77338129496402874</v>
      </c>
      <c r="N28" s="235">
        <f>M28*$G$16</f>
        <v>215</v>
      </c>
      <c r="O28" s="236">
        <f t="shared" ref="O28:O32" si="5">K28*N28</f>
        <v>21.5</v>
      </c>
      <c r="P28" s="150"/>
    </row>
    <row r="29" spans="2:25" ht="13.8" x14ac:dyDescent="0.3">
      <c r="B29" s="149"/>
      <c r="C29" s="221" t="s">
        <v>32</v>
      </c>
      <c r="D29" s="63">
        <f>D20-D21+D22-SUM(D23:D28)</f>
        <v>6073.3548000000001</v>
      </c>
      <c r="E29" s="64">
        <f>E20-E21+E22-SUM(E23:E28)</f>
        <v>21.846599999999999</v>
      </c>
      <c r="F29" s="64"/>
      <c r="G29" s="70">
        <f>E29/E$20</f>
        <v>0.95399999999999996</v>
      </c>
      <c r="H29" s="178"/>
      <c r="I29" s="46" t="s">
        <v>211</v>
      </c>
      <c r="J29" s="47"/>
      <c r="K29" s="48"/>
      <c r="L29" s="47"/>
      <c r="M29" s="47"/>
      <c r="N29" s="237">
        <f t="shared" ref="N29:N32" si="6">M29*$G$16</f>
        <v>0</v>
      </c>
      <c r="O29" s="238">
        <f t="shared" si="5"/>
        <v>0</v>
      </c>
      <c r="P29" s="150"/>
    </row>
    <row r="30" spans="2:25" x14ac:dyDescent="0.25">
      <c r="B30" s="149"/>
      <c r="C30" s="222"/>
      <c r="D30" s="71"/>
      <c r="E30" s="71"/>
      <c r="F30" s="71"/>
      <c r="G30" s="223"/>
      <c r="H30" s="179"/>
      <c r="I30" s="46" t="s">
        <v>212</v>
      </c>
      <c r="J30" s="47"/>
      <c r="K30" s="48"/>
      <c r="L30" s="47"/>
      <c r="M30" s="47"/>
      <c r="N30" s="237">
        <f t="shared" si="6"/>
        <v>0</v>
      </c>
      <c r="O30" s="238">
        <f t="shared" si="5"/>
        <v>0</v>
      </c>
      <c r="P30" s="150"/>
    </row>
    <row r="31" spans="2:25" x14ac:dyDescent="0.25">
      <c r="B31" s="149"/>
      <c r="C31" s="218" t="s">
        <v>15</v>
      </c>
      <c r="D31" s="224" t="s">
        <v>28</v>
      </c>
      <c r="E31" s="224" t="s">
        <v>18</v>
      </c>
      <c r="F31" s="224"/>
      <c r="G31" s="223"/>
      <c r="I31" s="46" t="s">
        <v>213</v>
      </c>
      <c r="J31" s="47"/>
      <c r="K31" s="48"/>
      <c r="L31" s="47"/>
      <c r="M31" s="47"/>
      <c r="N31" s="237">
        <f t="shared" si="6"/>
        <v>0</v>
      </c>
      <c r="O31" s="238"/>
      <c r="P31" s="150"/>
    </row>
    <row r="32" spans="2:25" ht="13.8" x14ac:dyDescent="0.3">
      <c r="B32" s="149"/>
      <c r="C32" s="196" t="s">
        <v>1</v>
      </c>
      <c r="D32" s="72">
        <f>O26</f>
        <v>1371.6</v>
      </c>
      <c r="E32" s="66">
        <f>D32/$G$15</f>
        <v>4.9338129496402878</v>
      </c>
      <c r="F32" s="66"/>
      <c r="G32" s="73">
        <f>E32/E$29</f>
        <v>0.22583893830803367</v>
      </c>
      <c r="I32" s="52" t="s">
        <v>237</v>
      </c>
      <c r="K32" s="53"/>
      <c r="N32" s="239">
        <f t="shared" si="6"/>
        <v>0</v>
      </c>
      <c r="O32" s="240">
        <f t="shared" si="5"/>
        <v>0</v>
      </c>
      <c r="P32" s="150"/>
    </row>
    <row r="33" spans="1:17" ht="14.4" thickBot="1" x14ac:dyDescent="0.35">
      <c r="B33" s="149"/>
      <c r="C33" s="196" t="s">
        <v>17</v>
      </c>
      <c r="D33" s="69">
        <f>O33</f>
        <v>21.5</v>
      </c>
      <c r="E33" s="66">
        <f t="shared" ref="E33:E39" si="7">D33/$G$15</f>
        <v>7.7338129496402883E-2</v>
      </c>
      <c r="F33" s="66"/>
      <c r="G33" s="73">
        <f t="shared" ref="G33:G40" si="8">E33/E$29</f>
        <v>3.5400533490979325E-3</v>
      </c>
      <c r="H33" s="180"/>
      <c r="I33" s="55" t="s">
        <v>0</v>
      </c>
      <c r="J33" s="56"/>
      <c r="K33" s="128">
        <f>SUM(K28:K32)</f>
        <v>0.1</v>
      </c>
      <c r="L33" s="128"/>
      <c r="M33" s="128" cm="1">
        <f t="array" ref="M33">SUMPRODUCT($M$28:$M$32,$K$28:$K$32/$K$33)</f>
        <v>0.77338129496402874</v>
      </c>
      <c r="N33" s="241" cm="1">
        <f t="array" ref="N33">SUMPRODUCT($N$28:$N$32,$K$28:$K$32/$K$33)</f>
        <v>215</v>
      </c>
      <c r="O33" s="242">
        <f>SUM(O28:O32)</f>
        <v>21.5</v>
      </c>
      <c r="P33" s="150"/>
    </row>
    <row r="34" spans="1:17" ht="13.8" x14ac:dyDescent="0.3">
      <c r="B34" s="149"/>
      <c r="C34" s="196" t="s">
        <v>25</v>
      </c>
      <c r="D34" s="69">
        <f>O49</f>
        <v>2280</v>
      </c>
      <c r="E34" s="220">
        <f t="shared" si="7"/>
        <v>8.2014388489208638</v>
      </c>
      <c r="F34" s="220"/>
      <c r="G34" s="73">
        <f t="shared" si="8"/>
        <v>0.37541030864852493</v>
      </c>
      <c r="H34" s="180"/>
      <c r="I34" s="58" t="s">
        <v>25</v>
      </c>
      <c r="J34" s="39" t="s">
        <v>214</v>
      </c>
      <c r="K34" s="39" t="s">
        <v>215</v>
      </c>
      <c r="L34" s="39" t="s">
        <v>216</v>
      </c>
      <c r="M34" s="39" t="s">
        <v>262</v>
      </c>
      <c r="N34" s="243" t="s">
        <v>261</v>
      </c>
      <c r="O34" s="217" t="s">
        <v>205</v>
      </c>
      <c r="P34" s="150"/>
    </row>
    <row r="35" spans="1:17" ht="13.8" x14ac:dyDescent="0.3">
      <c r="B35" s="149"/>
      <c r="C35" s="196" t="s">
        <v>26</v>
      </c>
      <c r="D35" s="69">
        <f>O51</f>
        <v>25</v>
      </c>
      <c r="E35" s="220">
        <f t="shared" si="7"/>
        <v>8.9928057553956831E-2</v>
      </c>
      <c r="F35" s="220"/>
      <c r="G35" s="68">
        <f t="shared" si="8"/>
        <v>4.1163411036022465E-3</v>
      </c>
      <c r="H35" s="180"/>
      <c r="I35" s="448" t="s">
        <v>232</v>
      </c>
      <c r="J35" s="259" t="s">
        <v>217</v>
      </c>
      <c r="K35" s="43">
        <v>1</v>
      </c>
      <c r="L35" s="42" t="s">
        <v>241</v>
      </c>
      <c r="M35" s="43">
        <v>8.2014388489208638</v>
      </c>
      <c r="N35" s="235">
        <f>M35*$G$16</f>
        <v>2280</v>
      </c>
      <c r="O35" s="236">
        <f t="shared" ref="O35:O48" si="9">K35*N35</f>
        <v>2280</v>
      </c>
      <c r="P35" s="150"/>
      <c r="Q35" s="144"/>
    </row>
    <row r="36" spans="1:17" ht="13.8" x14ac:dyDescent="0.3">
      <c r="A36" s="144"/>
      <c r="B36" s="149"/>
      <c r="C36" s="196" t="s">
        <v>234</v>
      </c>
      <c r="D36" s="69">
        <f>O57</f>
        <v>0</v>
      </c>
      <c r="E36" s="220">
        <f t="shared" si="7"/>
        <v>0</v>
      </c>
      <c r="F36" s="220"/>
      <c r="G36" s="68">
        <f t="shared" si="8"/>
        <v>0</v>
      </c>
      <c r="H36" s="178"/>
      <c r="I36" s="448"/>
      <c r="J36" s="65" t="s">
        <v>229</v>
      </c>
      <c r="K36" s="48">
        <v>1</v>
      </c>
      <c r="L36" s="47" t="s">
        <v>241</v>
      </c>
      <c r="M36" s="47"/>
      <c r="N36" s="244">
        <f t="shared" ref="N36:N38" si="10">M36*$G$16</f>
        <v>0</v>
      </c>
      <c r="O36" s="238">
        <f t="shared" si="9"/>
        <v>0</v>
      </c>
      <c r="P36" s="150"/>
    </row>
    <row r="37" spans="1:17" ht="13.8" x14ac:dyDescent="0.3">
      <c r="A37" s="144">
        <f>(D37*$J$13)/$J$11</f>
        <v>8.934030566273</v>
      </c>
      <c r="B37" s="149"/>
      <c r="C37" s="196" t="s">
        <v>19</v>
      </c>
      <c r="D37" s="65">
        <f>'CPM DATA'!J13/Model!$J$13*$J$11</f>
        <v>541.17414940806873</v>
      </c>
      <c r="E37" s="220">
        <f t="shared" si="7"/>
        <v>1.9466696021872976</v>
      </c>
      <c r="F37" s="220"/>
      <c r="G37" s="67">
        <f t="shared" si="8"/>
        <v>8.9106295816616665E-2</v>
      </c>
      <c r="H37" s="178"/>
      <c r="I37" s="448"/>
      <c r="J37" s="260" t="s">
        <v>220</v>
      </c>
      <c r="K37" s="48">
        <v>1</v>
      </c>
      <c r="L37" s="47" t="s">
        <v>241</v>
      </c>
      <c r="M37" s="47"/>
      <c r="N37" s="244">
        <f t="shared" si="10"/>
        <v>0</v>
      </c>
      <c r="O37" s="238">
        <f t="shared" si="9"/>
        <v>0</v>
      </c>
      <c r="P37" s="150"/>
    </row>
    <row r="38" spans="1:17" ht="13.8" x14ac:dyDescent="0.3">
      <c r="A38" s="144">
        <f>(D38*$J$13)/$J$11</f>
        <v>4.48466553231437</v>
      </c>
      <c r="B38" s="149"/>
      <c r="C38" s="196" t="s">
        <v>89</v>
      </c>
      <c r="D38" s="65">
        <f>('CPM DATA'!J20+'CPM DATA'!J27)/Model!$J$13*$J$11</f>
        <v>271.65622915955345</v>
      </c>
      <c r="E38" s="220">
        <f t="shared" si="7"/>
        <v>0.97718068043004835</v>
      </c>
      <c r="F38" s="220"/>
      <c r="G38" s="67">
        <f t="shared" si="8"/>
        <v>4.4729188085562442E-2</v>
      </c>
      <c r="H38" s="177"/>
      <c r="I38" s="448"/>
      <c r="J38" s="261" t="s">
        <v>222</v>
      </c>
      <c r="K38" s="51">
        <v>1</v>
      </c>
      <c r="L38" s="50" t="s">
        <v>241</v>
      </c>
      <c r="M38" s="50"/>
      <c r="N38" s="245">
        <f t="shared" si="10"/>
        <v>0</v>
      </c>
      <c r="O38" s="246">
        <f t="shared" si="9"/>
        <v>0</v>
      </c>
      <c r="P38" s="150"/>
    </row>
    <row r="39" spans="1:17" ht="13.8" x14ac:dyDescent="0.3">
      <c r="A39" s="144"/>
      <c r="B39" s="149"/>
      <c r="C39" s="196" t="s">
        <v>27</v>
      </c>
      <c r="D39" s="65">
        <f>D15*SUM(D32:D38)</f>
        <v>187.20361071055632</v>
      </c>
      <c r="E39" s="220">
        <f t="shared" si="7"/>
        <v>0.67339428313149752</v>
      </c>
      <c r="F39" s="220"/>
      <c r="G39" s="68">
        <f t="shared" si="8"/>
        <v>3.0823756700424667E-2</v>
      </c>
      <c r="H39" s="177"/>
      <c r="I39" s="448"/>
      <c r="J39" s="86"/>
      <c r="K39" s="53"/>
      <c r="N39" s="87"/>
      <c r="O39" s="240">
        <f t="shared" si="9"/>
        <v>0</v>
      </c>
      <c r="P39" s="150"/>
    </row>
    <row r="40" spans="1:17" ht="13.8" x14ac:dyDescent="0.3">
      <c r="A40" s="144"/>
      <c r="B40" s="149"/>
      <c r="C40" s="218" t="s">
        <v>251</v>
      </c>
      <c r="D40" s="63">
        <f>SUM(D32:D39)</f>
        <v>4698.133989278178</v>
      </c>
      <c r="E40" s="64">
        <f>SUM(E32:E39)</f>
        <v>16.899762551360354</v>
      </c>
      <c r="F40" s="64"/>
      <c r="G40" s="74">
        <f t="shared" si="8"/>
        <v>0.77356488201186246</v>
      </c>
      <c r="H40" s="178"/>
      <c r="I40" s="449"/>
      <c r="J40" s="259"/>
      <c r="K40" s="43"/>
      <c r="L40" s="42"/>
      <c r="M40" s="42"/>
      <c r="N40" s="247"/>
      <c r="O40" s="236">
        <f t="shared" si="9"/>
        <v>0</v>
      </c>
      <c r="P40" s="150"/>
    </row>
    <row r="41" spans="1:17" ht="13.8" x14ac:dyDescent="0.3">
      <c r="A41" s="144"/>
      <c r="B41" s="149"/>
      <c r="C41" s="222"/>
      <c r="D41" s="71"/>
      <c r="E41" s="75"/>
      <c r="F41" s="75"/>
      <c r="G41" s="223"/>
      <c r="H41" s="180"/>
      <c r="I41" s="447" t="s">
        <v>233</v>
      </c>
      <c r="J41" s="259" t="s">
        <v>221</v>
      </c>
      <c r="K41" s="43">
        <v>1</v>
      </c>
      <c r="L41" s="42" t="s">
        <v>241</v>
      </c>
      <c r="M41" s="42"/>
      <c r="N41" s="247">
        <f t="shared" ref="N41:N46" si="11">M41*$G$16</f>
        <v>0</v>
      </c>
      <c r="O41" s="236">
        <f t="shared" si="9"/>
        <v>0</v>
      </c>
      <c r="P41" s="150"/>
    </row>
    <row r="42" spans="1:17" x14ac:dyDescent="0.25">
      <c r="A42" s="144"/>
      <c r="B42" s="149"/>
      <c r="C42" s="225" t="s">
        <v>145</v>
      </c>
      <c r="D42" s="76">
        <f>D29-D40</f>
        <v>1375.2208107218221</v>
      </c>
      <c r="E42" s="77">
        <f>E29-E40</f>
        <v>4.9468374486396449</v>
      </c>
      <c r="F42" s="77"/>
      <c r="G42" s="78">
        <f>E42/E$29</f>
        <v>0.22643511798813754</v>
      </c>
      <c r="I42" s="448"/>
      <c r="J42" s="259" t="s">
        <v>223</v>
      </c>
      <c r="K42" s="43">
        <v>1</v>
      </c>
      <c r="L42" s="42" t="s">
        <v>241</v>
      </c>
      <c r="M42" s="42"/>
      <c r="N42" s="247">
        <f t="shared" si="11"/>
        <v>0</v>
      </c>
      <c r="O42" s="236">
        <f t="shared" si="9"/>
        <v>0</v>
      </c>
      <c r="P42" s="150"/>
    </row>
    <row r="43" spans="1:17" x14ac:dyDescent="0.25">
      <c r="A43" s="144"/>
      <c r="B43" s="149"/>
      <c r="C43" s="226" t="s">
        <v>146</v>
      </c>
      <c r="D43" s="79">
        <f>(D42*J13)/J11</f>
        <v>22.702977907947183</v>
      </c>
      <c r="E43" s="80">
        <f>D43/G15*100</f>
        <v>8.1665388158083392</v>
      </c>
      <c r="F43" s="80"/>
      <c r="G43" s="219"/>
      <c r="H43" s="181"/>
      <c r="I43" s="448"/>
      <c r="J43" s="260" t="s">
        <v>224</v>
      </c>
      <c r="K43" s="48">
        <v>1</v>
      </c>
      <c r="L43" s="47" t="s">
        <v>241</v>
      </c>
      <c r="M43" s="47"/>
      <c r="N43" s="244">
        <f t="shared" si="11"/>
        <v>0</v>
      </c>
      <c r="O43" s="238">
        <f t="shared" si="9"/>
        <v>0</v>
      </c>
      <c r="P43" s="150"/>
    </row>
    <row r="44" spans="1:17" x14ac:dyDescent="0.25">
      <c r="A44" s="144"/>
      <c r="B44" s="149"/>
      <c r="C44" s="218" t="s">
        <v>37</v>
      </c>
      <c r="D44" s="71"/>
      <c r="E44" s="227"/>
      <c r="F44" s="227"/>
      <c r="G44" s="223"/>
      <c r="H44" s="176"/>
      <c r="I44" s="448"/>
      <c r="J44" s="260" t="s">
        <v>225</v>
      </c>
      <c r="K44" s="48">
        <v>1</v>
      </c>
      <c r="L44" s="47" t="s">
        <v>241</v>
      </c>
      <c r="M44" s="47"/>
      <c r="N44" s="244">
        <f t="shared" si="11"/>
        <v>0</v>
      </c>
      <c r="O44" s="238">
        <f t="shared" si="9"/>
        <v>0</v>
      </c>
      <c r="P44" s="150"/>
    </row>
    <row r="45" spans="1:17" ht="13.8" x14ac:dyDescent="0.3">
      <c r="A45" s="144">
        <f>(D45*$J$13)/$J$11</f>
        <v>12.508913066315749</v>
      </c>
      <c r="B45" s="149"/>
      <c r="C45" s="196" t="s">
        <v>34</v>
      </c>
      <c r="D45" s="65">
        <f>'CPM DATA'!J16/Model!$J$13*$J$11</f>
        <v>757.72075531491362</v>
      </c>
      <c r="E45" s="220">
        <f>D45/$G$15</f>
        <v>2.7256142277514877</v>
      </c>
      <c r="F45" s="220"/>
      <c r="G45" s="73">
        <f t="shared" ref="G45:G47" si="12">E45/E$29</f>
        <v>0.12476148360621277</v>
      </c>
      <c r="I45" s="448"/>
      <c r="J45" s="260" t="s">
        <v>226</v>
      </c>
      <c r="K45" s="48">
        <v>1</v>
      </c>
      <c r="L45" s="47" t="s">
        <v>241</v>
      </c>
      <c r="M45" s="47"/>
      <c r="N45" s="244">
        <f t="shared" si="11"/>
        <v>0</v>
      </c>
      <c r="O45" s="238">
        <f t="shared" si="9"/>
        <v>0</v>
      </c>
      <c r="P45" s="150"/>
    </row>
    <row r="46" spans="1:17" ht="13.8" x14ac:dyDescent="0.3">
      <c r="A46" s="144">
        <f>(D46*$J$13)/$J$11</f>
        <v>6.8685878181868221</v>
      </c>
      <c r="B46" s="149"/>
      <c r="C46" s="196" t="s">
        <v>147</v>
      </c>
      <c r="D46" s="65">
        <f>'CPM DATA'!J58/Model!$J$13*$J$11</f>
        <v>416.06105358250812</v>
      </c>
      <c r="E46" s="220">
        <f>D46/$G$15</f>
        <v>1.4966224949011084</v>
      </c>
      <c r="F46" s="220"/>
      <c r="G46" s="73">
        <f t="shared" si="12"/>
        <v>6.8505968658789398E-2</v>
      </c>
      <c r="H46" s="180"/>
      <c r="I46" s="448"/>
      <c r="J46" s="260" t="s">
        <v>230</v>
      </c>
      <c r="K46" s="48">
        <v>1</v>
      </c>
      <c r="L46" s="47" t="s">
        <v>241</v>
      </c>
      <c r="M46" s="47"/>
      <c r="N46" s="244">
        <f t="shared" si="11"/>
        <v>0</v>
      </c>
      <c r="O46" s="238">
        <f t="shared" si="9"/>
        <v>0</v>
      </c>
      <c r="P46" s="150"/>
    </row>
    <row r="47" spans="1:17" ht="13.8" x14ac:dyDescent="0.3">
      <c r="A47" s="144">
        <f>(D47*$J$13)/$J$11</f>
        <v>1.2249408779026021</v>
      </c>
      <c r="B47" s="149"/>
      <c r="C47" s="196" t="s">
        <v>40</v>
      </c>
      <c r="D47" s="65">
        <f>('CPM DATA'!$J$35+'CPM DATA'!J19+'CPM DATA'!J26)/Model!$J$13*$J$11</f>
        <v>74.200142114653374</v>
      </c>
      <c r="E47" s="220">
        <f>D47/$G$15</f>
        <v>0.26690698602393298</v>
      </c>
      <c r="F47" s="220"/>
      <c r="G47" s="73">
        <f t="shared" si="12"/>
        <v>1.2217323795187031E-2</v>
      </c>
      <c r="H47" s="180"/>
      <c r="I47" s="448"/>
      <c r="J47" s="86"/>
      <c r="N47" s="86"/>
      <c r="O47" s="240">
        <f t="shared" si="9"/>
        <v>0</v>
      </c>
      <c r="P47" s="150"/>
    </row>
    <row r="48" spans="1:17" ht="13.8" x14ac:dyDescent="0.3">
      <c r="A48" s="144"/>
      <c r="B48" s="149"/>
      <c r="C48" s="196"/>
      <c r="D48" s="65"/>
      <c r="E48" s="220"/>
      <c r="F48" s="220"/>
      <c r="G48" s="73"/>
      <c r="H48" s="180"/>
      <c r="I48" s="449"/>
      <c r="J48" s="86"/>
      <c r="N48" s="86"/>
      <c r="O48" s="240">
        <f t="shared" si="9"/>
        <v>0</v>
      </c>
      <c r="P48" s="150"/>
    </row>
    <row r="49" spans="1:16" ht="14.4" thickBot="1" x14ac:dyDescent="0.35">
      <c r="A49" s="144"/>
      <c r="B49" s="149"/>
      <c r="C49" s="196"/>
      <c r="D49" s="65"/>
      <c r="E49" s="220"/>
      <c r="F49" s="220"/>
      <c r="G49" s="73"/>
      <c r="H49" s="180"/>
      <c r="I49" s="55" t="s">
        <v>0</v>
      </c>
      <c r="J49" s="56"/>
      <c r="K49" s="56"/>
      <c r="L49" s="56"/>
      <c r="M49" s="56"/>
      <c r="N49" s="248"/>
      <c r="O49" s="242">
        <f>SUM(O35:O48)</f>
        <v>2280</v>
      </c>
      <c r="P49" s="150"/>
    </row>
    <row r="50" spans="1:16" ht="13.8" x14ac:dyDescent="0.3">
      <c r="A50" s="144"/>
      <c r="B50" s="149"/>
      <c r="C50" s="218" t="s">
        <v>20</v>
      </c>
      <c r="D50" s="63">
        <f>SUM(D45:D49)</f>
        <v>1247.9819510120751</v>
      </c>
      <c r="E50" s="228">
        <f>SUM(E45:E49)</f>
        <v>4.4891437086765293</v>
      </c>
      <c r="F50" s="227"/>
      <c r="G50" s="81">
        <f t="shared" ref="G50" si="13">E50/E$29</f>
        <v>0.20548477606018922</v>
      </c>
      <c r="H50" s="180"/>
      <c r="I50" s="58" t="s">
        <v>234</v>
      </c>
      <c r="J50" s="39" t="s">
        <v>214</v>
      </c>
      <c r="K50" s="39" t="s">
        <v>215</v>
      </c>
      <c r="L50" s="39" t="s">
        <v>216</v>
      </c>
      <c r="M50" s="39" t="s">
        <v>262</v>
      </c>
      <c r="N50" s="243" t="s">
        <v>261</v>
      </c>
      <c r="O50" s="217" t="s">
        <v>205</v>
      </c>
      <c r="P50" s="150"/>
    </row>
    <row r="51" spans="1:16" ht="13.8" x14ac:dyDescent="0.3">
      <c r="A51" s="144"/>
      <c r="B51" s="149"/>
      <c r="C51" s="226" t="s">
        <v>148</v>
      </c>
      <c r="D51" s="79">
        <f>(D50*J13)/J11</f>
        <v>20.602441762405174</v>
      </c>
      <c r="E51" s="227">
        <f>D51/G15*100</f>
        <v>7.4109502742464652</v>
      </c>
      <c r="F51" s="227"/>
      <c r="G51" s="82"/>
      <c r="H51" s="180"/>
      <c r="I51" s="262" t="s">
        <v>235</v>
      </c>
      <c r="J51" s="259" t="str">
        <f>D14</f>
        <v>Rinse</v>
      </c>
      <c r="K51" s="43">
        <v>1</v>
      </c>
      <c r="L51" s="42"/>
      <c r="M51" s="43">
        <v>8.9928057553956831E-2</v>
      </c>
      <c r="N51" s="235">
        <f>M51*$G$16</f>
        <v>25</v>
      </c>
      <c r="O51" s="236">
        <f t="shared" ref="O51:O56" si="14">K51*N51</f>
        <v>25</v>
      </c>
      <c r="P51" s="150"/>
    </row>
    <row r="52" spans="1:16" ht="13.8" x14ac:dyDescent="0.3">
      <c r="A52" s="144"/>
      <c r="B52" s="149"/>
      <c r="C52" s="222"/>
      <c r="D52" s="71"/>
      <c r="E52" s="227"/>
      <c r="F52" s="227"/>
      <c r="G52" s="82"/>
      <c r="H52" s="180"/>
      <c r="I52" s="447" t="s">
        <v>234</v>
      </c>
      <c r="J52" s="65" t="s">
        <v>228</v>
      </c>
      <c r="K52" s="48"/>
      <c r="L52" s="48"/>
      <c r="M52" s="48"/>
      <c r="N52" s="235">
        <f t="shared" ref="N52:N56" si="15">M52*$G$16</f>
        <v>0</v>
      </c>
      <c r="O52" s="238">
        <f t="shared" si="14"/>
        <v>0</v>
      </c>
      <c r="P52" s="150"/>
    </row>
    <row r="53" spans="1:16" s="183" customFormat="1" ht="13.8" x14ac:dyDescent="0.3">
      <c r="A53" s="144"/>
      <c r="B53" s="149"/>
      <c r="C53" s="229" t="s">
        <v>13</v>
      </c>
      <c r="D53" s="83">
        <f>D42-D50</f>
        <v>127.23885970974698</v>
      </c>
      <c r="E53" s="84">
        <f>D53/G15</f>
        <v>0.45769373996311863</v>
      </c>
      <c r="F53" s="84"/>
      <c r="G53" s="85">
        <f t="shared" ref="G53" si="16">E53/E$29</f>
        <v>2.0950341927948452E-2</v>
      </c>
      <c r="H53" s="180"/>
      <c r="I53" s="448"/>
      <c r="J53" s="260" t="s">
        <v>218</v>
      </c>
      <c r="K53" s="48"/>
      <c r="L53" s="48"/>
      <c r="M53" s="48"/>
      <c r="N53" s="235">
        <f t="shared" si="15"/>
        <v>0</v>
      </c>
      <c r="O53" s="238">
        <f t="shared" ref="O53:O54" si="17">K53*N53</f>
        <v>0</v>
      </c>
      <c r="P53" s="182"/>
    </row>
    <row r="54" spans="1:16" ht="12.45" customHeight="1" x14ac:dyDescent="0.3">
      <c r="A54" s="144"/>
      <c r="B54" s="184"/>
      <c r="C54" s="222"/>
      <c r="D54" s="86"/>
      <c r="E54" s="87"/>
      <c r="F54" s="86"/>
      <c r="G54" s="223"/>
      <c r="H54" s="180"/>
      <c r="I54" s="448"/>
      <c r="J54" s="260" t="s">
        <v>227</v>
      </c>
      <c r="K54" s="48"/>
      <c r="L54" s="48"/>
      <c r="M54" s="48"/>
      <c r="N54" s="235">
        <f t="shared" si="15"/>
        <v>0</v>
      </c>
      <c r="O54" s="238">
        <f t="shared" si="17"/>
        <v>0</v>
      </c>
      <c r="P54" s="150"/>
    </row>
    <row r="55" spans="1:16" s="183" customFormat="1" ht="13.8" x14ac:dyDescent="0.3">
      <c r="A55" s="144">
        <f>(D55*$J$13)/$J$11</f>
        <v>1.7578597832427967</v>
      </c>
      <c r="B55" s="149"/>
      <c r="C55" s="230" t="s">
        <v>90</v>
      </c>
      <c r="D55" s="88">
        <f>('CPM DATA'!J22+'CPM DATA'!J34)/Model!$J$13*$J$11</f>
        <v>106.48142133813282</v>
      </c>
      <c r="E55" s="231">
        <f>D55/$G$15</f>
        <v>0.38302669546090939</v>
      </c>
      <c r="F55" s="231"/>
      <c r="G55" s="106">
        <f t="shared" ref="G55:G56" si="18">E55/E$29</f>
        <v>1.7532554056965816E-2</v>
      </c>
      <c r="H55" s="180"/>
      <c r="I55" s="448"/>
      <c r="J55" s="261" t="s">
        <v>219</v>
      </c>
      <c r="K55" s="51"/>
      <c r="L55" s="51"/>
      <c r="M55" s="51"/>
      <c r="N55" s="235">
        <f t="shared" si="15"/>
        <v>0</v>
      </c>
      <c r="O55" s="246">
        <f t="shared" si="14"/>
        <v>0</v>
      </c>
      <c r="P55" s="182"/>
    </row>
    <row r="56" spans="1:16" s="183" customFormat="1" ht="14.4" thickBot="1" x14ac:dyDescent="0.35">
      <c r="A56" s="144"/>
      <c r="B56" s="184"/>
      <c r="C56" s="232" t="s">
        <v>5</v>
      </c>
      <c r="D56" s="89">
        <f>D53-D55</f>
        <v>20.757438371614157</v>
      </c>
      <c r="E56" s="90">
        <f>D56/$G$15</f>
        <v>7.4667044502209193E-2</v>
      </c>
      <c r="F56" s="90"/>
      <c r="G56" s="105">
        <f t="shared" si="18"/>
        <v>3.4177878709826335E-3</v>
      </c>
      <c r="H56" s="180"/>
      <c r="I56" s="449"/>
      <c r="J56" s="260"/>
      <c r="K56" s="48"/>
      <c r="L56" s="48"/>
      <c r="M56" s="48"/>
      <c r="N56" s="235">
        <f t="shared" si="15"/>
        <v>0</v>
      </c>
      <c r="O56" s="238">
        <f t="shared" si="14"/>
        <v>0</v>
      </c>
      <c r="P56" s="182"/>
    </row>
    <row r="57" spans="1:16" ht="14.4" thickBot="1" x14ac:dyDescent="0.35">
      <c r="B57" s="184"/>
      <c r="C57" s="233"/>
      <c r="D57" s="91"/>
      <c r="E57" s="234"/>
      <c r="F57" s="234"/>
      <c r="G57" s="233"/>
      <c r="H57" s="180"/>
      <c r="I57" s="55" t="s">
        <v>0</v>
      </c>
      <c r="J57" s="56"/>
      <c r="K57" s="56"/>
      <c r="L57" s="56"/>
      <c r="M57" s="56"/>
      <c r="N57" s="248"/>
      <c r="O57" s="249">
        <f>SUM(O52:O56)</f>
        <v>0</v>
      </c>
      <c r="P57" s="150"/>
    </row>
    <row r="58" spans="1:16" ht="14.4" thickBot="1" x14ac:dyDescent="0.35">
      <c r="B58" s="186"/>
      <c r="C58" s="233"/>
      <c r="D58" s="91"/>
      <c r="E58" s="104"/>
      <c r="F58" s="104"/>
      <c r="G58" s="233"/>
      <c r="H58" s="187"/>
      <c r="I58" s="188"/>
      <c r="J58" s="185"/>
      <c r="K58" s="185"/>
      <c r="L58" s="185"/>
      <c r="M58" s="185"/>
      <c r="N58" s="185"/>
      <c r="O58" s="185"/>
      <c r="P58" s="189"/>
    </row>
    <row r="59" spans="1:16" x14ac:dyDescent="0.25">
      <c r="D59" s="144"/>
      <c r="E59" s="144"/>
      <c r="F59" s="144"/>
      <c r="G59" s="165"/>
      <c r="I59" s="190"/>
    </row>
    <row r="60" spans="1:16" hidden="1" x14ac:dyDescent="0.25">
      <c r="D60" s="144"/>
      <c r="E60" s="144"/>
      <c r="F60" s="144"/>
      <c r="I60" s="190"/>
    </row>
    <row r="61" spans="1:16" hidden="1" x14ac:dyDescent="0.25">
      <c r="D61" s="144"/>
      <c r="E61" s="144"/>
      <c r="F61" s="191"/>
      <c r="I61" s="190"/>
    </row>
    <row r="62" spans="1:16" hidden="1" x14ac:dyDescent="0.25">
      <c r="D62" s="144"/>
      <c r="E62" s="191"/>
      <c r="F62" s="191"/>
      <c r="I62" s="190"/>
      <c r="J62" s="183"/>
      <c r="K62" s="183"/>
      <c r="L62" s="183"/>
      <c r="M62" s="183"/>
      <c r="N62" s="183"/>
      <c r="O62" s="183"/>
    </row>
    <row r="63" spans="1:16" hidden="1" x14ac:dyDescent="0.25">
      <c r="D63" s="144"/>
      <c r="E63" s="191"/>
      <c r="F63" s="191"/>
      <c r="I63" s="190"/>
    </row>
    <row r="64" spans="1:16" x14ac:dyDescent="0.25">
      <c r="A64" s="144"/>
      <c r="D64" s="141"/>
      <c r="E64" s="191"/>
      <c r="F64" s="191"/>
      <c r="I64" s="190"/>
      <c r="J64" s="183"/>
      <c r="K64" s="183"/>
      <c r="L64" s="183"/>
      <c r="M64" s="183"/>
      <c r="N64" s="183"/>
      <c r="O64" s="183"/>
    </row>
    <row r="65" spans="1:15" x14ac:dyDescent="0.25">
      <c r="A65" s="144"/>
      <c r="D65" s="192"/>
      <c r="E65" s="191"/>
      <c r="F65" s="191"/>
      <c r="I65" s="190"/>
      <c r="J65" s="183"/>
      <c r="K65" s="183"/>
      <c r="L65" s="183"/>
      <c r="M65" s="183"/>
      <c r="N65" s="183"/>
      <c r="O65" s="183"/>
    </row>
    <row r="66" spans="1:15" x14ac:dyDescent="0.25">
      <c r="A66" s="144"/>
      <c r="D66" s="191"/>
      <c r="E66" s="191"/>
      <c r="F66" s="191"/>
      <c r="I66" s="190"/>
    </row>
    <row r="67" spans="1:15" x14ac:dyDescent="0.25">
      <c r="D67" s="191"/>
      <c r="E67" s="191"/>
      <c r="F67" s="191"/>
      <c r="I67" s="190"/>
    </row>
    <row r="68" spans="1:15" x14ac:dyDescent="0.25">
      <c r="D68" s="191"/>
      <c r="E68" s="191"/>
      <c r="F68" s="191"/>
      <c r="I68" s="190"/>
    </row>
    <row r="69" spans="1:15" x14ac:dyDescent="0.25">
      <c r="D69" s="191"/>
      <c r="E69" s="191"/>
      <c r="F69" s="191"/>
      <c r="I69" s="190"/>
    </row>
    <row r="70" spans="1:15" x14ac:dyDescent="0.25">
      <c r="D70" s="191"/>
      <c r="E70" s="191"/>
      <c r="F70" s="191"/>
      <c r="I70" s="190"/>
    </row>
    <row r="71" spans="1:15" x14ac:dyDescent="0.25">
      <c r="D71" s="191"/>
      <c r="E71" s="191"/>
      <c r="F71" s="191"/>
      <c r="I71" s="190"/>
    </row>
    <row r="72" spans="1:15" x14ac:dyDescent="0.25">
      <c r="D72" s="191"/>
      <c r="E72" s="191"/>
      <c r="F72" s="191"/>
      <c r="I72" s="190"/>
    </row>
    <row r="73" spans="1:15" x14ac:dyDescent="0.25">
      <c r="D73" s="191"/>
      <c r="E73" s="191"/>
      <c r="F73" s="191"/>
      <c r="I73" s="190"/>
    </row>
    <row r="74" spans="1:15" x14ac:dyDescent="0.25">
      <c r="D74" s="191"/>
      <c r="E74" s="191"/>
      <c r="F74" s="191"/>
    </row>
    <row r="75" spans="1:15" x14ac:dyDescent="0.25">
      <c r="D75" s="191"/>
      <c r="E75" s="191"/>
      <c r="F75" s="191"/>
    </row>
    <row r="76" spans="1:15" x14ac:dyDescent="0.25">
      <c r="D76" s="191"/>
      <c r="E76" s="191"/>
      <c r="F76" s="191"/>
    </row>
    <row r="77" spans="1:15" x14ac:dyDescent="0.25">
      <c r="D77" s="191"/>
      <c r="E77" s="191"/>
      <c r="F77" s="191"/>
    </row>
    <row r="78" spans="1:15" x14ac:dyDescent="0.25">
      <c r="D78" s="191"/>
      <c r="E78" s="191"/>
      <c r="F78" s="191"/>
    </row>
    <row r="79" spans="1:15" x14ac:dyDescent="0.25">
      <c r="D79" s="191"/>
      <c r="E79" s="191"/>
      <c r="F79" s="191"/>
    </row>
    <row r="80" spans="1:15" x14ac:dyDescent="0.25">
      <c r="D80" s="191"/>
      <c r="E80" s="191"/>
      <c r="F80" s="191"/>
    </row>
    <row r="81" spans="4:6" x14ac:dyDescent="0.25">
      <c r="D81" s="191"/>
      <c r="E81" s="191"/>
      <c r="F81" s="191"/>
    </row>
    <row r="82" spans="4:6" x14ac:dyDescent="0.25">
      <c r="D82" s="191"/>
      <c r="E82" s="191"/>
      <c r="F82" s="191"/>
    </row>
    <row r="83" spans="4:6" x14ac:dyDescent="0.25">
      <c r="D83" s="191"/>
      <c r="E83" s="191"/>
      <c r="F83" s="191"/>
    </row>
    <row r="84" spans="4:6" x14ac:dyDescent="0.25">
      <c r="D84" s="191"/>
      <c r="E84" s="191"/>
      <c r="F84" s="191"/>
    </row>
    <row r="85" spans="4:6" x14ac:dyDescent="0.25">
      <c r="D85" s="191"/>
      <c r="E85" s="191"/>
      <c r="F85" s="191"/>
    </row>
    <row r="86" spans="4:6" x14ac:dyDescent="0.25">
      <c r="D86" s="191"/>
      <c r="E86" s="191"/>
      <c r="F86" s="191"/>
    </row>
    <row r="87" spans="4:6" x14ac:dyDescent="0.25">
      <c r="D87" s="191"/>
      <c r="E87" s="191"/>
      <c r="F87" s="191"/>
    </row>
    <row r="88" spans="4:6" x14ac:dyDescent="0.25">
      <c r="D88" s="191"/>
      <c r="E88" s="191"/>
      <c r="F88" s="191"/>
    </row>
    <row r="89" spans="4:6" x14ac:dyDescent="0.25">
      <c r="D89" s="191"/>
      <c r="E89" s="191"/>
      <c r="F89" s="191"/>
    </row>
    <row r="90" spans="4:6" x14ac:dyDescent="0.25">
      <c r="D90" s="191"/>
      <c r="E90" s="191"/>
      <c r="F90" s="191"/>
    </row>
    <row r="91" spans="4:6" x14ac:dyDescent="0.25">
      <c r="D91" s="191"/>
      <c r="E91" s="191"/>
      <c r="F91" s="191"/>
    </row>
    <row r="92" spans="4:6" x14ac:dyDescent="0.25">
      <c r="D92" s="191"/>
      <c r="E92" s="191"/>
      <c r="F92" s="191"/>
    </row>
    <row r="93" spans="4:6" x14ac:dyDescent="0.25">
      <c r="D93" s="191"/>
      <c r="E93" s="191"/>
      <c r="F93" s="191"/>
    </row>
    <row r="94" spans="4:6" x14ac:dyDescent="0.25">
      <c r="D94" s="191"/>
      <c r="E94" s="191"/>
      <c r="F94" s="191"/>
    </row>
    <row r="95" spans="4:6" x14ac:dyDescent="0.25">
      <c r="D95" s="191"/>
      <c r="E95" s="191"/>
      <c r="F95" s="191"/>
    </row>
    <row r="96" spans="4:6" x14ac:dyDescent="0.25">
      <c r="D96" s="191"/>
      <c r="E96" s="191"/>
      <c r="F96" s="191"/>
    </row>
    <row r="97" spans="4:6" x14ac:dyDescent="0.25">
      <c r="D97" s="191"/>
      <c r="E97" s="191"/>
      <c r="F97" s="191"/>
    </row>
    <row r="98" spans="4:6" x14ac:dyDescent="0.25">
      <c r="D98" s="191"/>
      <c r="E98" s="191"/>
      <c r="F98" s="191"/>
    </row>
    <row r="99" spans="4:6" x14ac:dyDescent="0.25">
      <c r="D99" s="191"/>
      <c r="E99" s="191"/>
      <c r="F99" s="191"/>
    </row>
    <row r="100" spans="4:6" x14ac:dyDescent="0.25">
      <c r="D100" s="191"/>
      <c r="E100" s="191"/>
      <c r="F100" s="191"/>
    </row>
    <row r="101" spans="4:6" x14ac:dyDescent="0.25">
      <c r="D101" s="191"/>
      <c r="E101" s="191"/>
      <c r="F101" s="191"/>
    </row>
    <row r="102" spans="4:6" x14ac:dyDescent="0.25">
      <c r="D102" s="191"/>
      <c r="E102" s="191"/>
      <c r="F102" s="191"/>
    </row>
    <row r="103" spans="4:6" x14ac:dyDescent="0.25">
      <c r="D103" s="191"/>
      <c r="E103" s="191"/>
      <c r="F103" s="191"/>
    </row>
    <row r="104" spans="4:6" x14ac:dyDescent="0.25">
      <c r="D104" s="191"/>
      <c r="E104" s="191"/>
      <c r="F104" s="191"/>
    </row>
  </sheetData>
  <sheetProtection algorithmName="SHA-512" hashValue="8cD3ybwVHIKWnwBbD8A9VTLi95g9gbCaa2eKSIgTOrFH3FKnVlsD+thP+G0/S9yu93jboZ1UaphLlue6uBfCfQ==" saltValue="G+HDwcgp0ep1XlU6OkQmyg==" spinCount="100000" sheet="1" objects="1" scenarios="1"/>
  <mergeCells count="5">
    <mergeCell ref="C4:O4"/>
    <mergeCell ref="C3:O3"/>
    <mergeCell ref="I52:I56"/>
    <mergeCell ref="I41:I48"/>
    <mergeCell ref="I35:I40"/>
  </mergeCells>
  <dataValidations count="2">
    <dataValidation allowBlank="1" showInputMessage="1" showErrorMessage="1" prompt="Input Sales Price" sqref="J6" xr:uid="{00000000-0002-0000-0200-000000000000}"/>
    <dataValidation type="list" allowBlank="1" showInputMessage="1" showErrorMessage="1" sqref="G17:G18" xr:uid="{00000000-0002-0000-0200-000001000000}">
      <formula1>#REF!</formula1>
    </dataValidation>
  </dataValidations>
  <printOptions horizontalCentered="1"/>
  <pageMargins left="0.17" right="0.17" top="0.6" bottom="0.38" header="0.5" footer="0.2"/>
  <pageSetup paperSize="9" scale="66" orientation="landscape" r:id="rId1"/>
  <ignoredErrors>
    <ignoredError sqref="G5 D5 N21:O25 N29:O32 O28 N27:O27 O26 N34:O57 O33 O2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200-000002000000}">
          <x14:formula1>
            <xm:f>Listing!$I$12:$I$13</xm:f>
          </x14:formula1>
          <xm:sqref>G14</xm:sqref>
        </x14:dataValidation>
        <x14:dataValidation type="list" allowBlank="1" showInputMessage="1" showErrorMessage="1" xr:uid="{00000000-0002-0000-0200-000003000000}">
          <x14:formula1>
            <xm:f>Listing!$K$4:$K$5</xm:f>
          </x14:formula1>
          <xm:sqref>G6</xm:sqref>
        </x14:dataValidation>
        <x14:dataValidation type="list" allowBlank="1" showInputMessage="1" showErrorMessage="1" xr:uid="{00000000-0002-0000-0200-000004000000}">
          <x14:formula1>
            <xm:f>Listing!$K$8:$K$11</xm:f>
          </x14:formula1>
          <xm:sqref>G12</xm:sqref>
        </x14:dataValidation>
        <x14:dataValidation type="list" allowBlank="1" showInputMessage="1" showErrorMessage="1" xr:uid="{00000000-0002-0000-0200-000005000000}">
          <x14:formula1>
            <xm:f>Listing!$I$8:$I$9</xm:f>
          </x14:formula1>
          <xm:sqref>G11</xm:sqref>
        </x14:dataValidation>
        <x14:dataValidation type="list" allowBlank="1" showInputMessage="1" showErrorMessage="1" xr:uid="{00000000-0002-0000-0200-000006000000}">
          <x14:formula1>
            <xm:f>Listing!$A$4:$A$24</xm:f>
          </x14:formula1>
          <xm:sqref>D6</xm:sqref>
        </x14:dataValidation>
        <x14:dataValidation type="list" allowBlank="1" showInputMessage="1" showErrorMessage="1" xr:uid="{00000000-0002-0000-0200-000007000000}">
          <x14:formula1>
            <xm:f>Listing!$C$4:$C$5</xm:f>
          </x14:formula1>
          <xm:sqref>D7</xm:sqref>
        </x14:dataValidation>
        <x14:dataValidation type="list" allowBlank="1" showInputMessage="1" showErrorMessage="1" xr:uid="{00000000-0002-0000-0200-000008000000}">
          <x14:formula1>
            <xm:f>Listing!$G$4:$G$17</xm:f>
          </x14:formula1>
          <xm:sqref>D14</xm:sqref>
        </x14:dataValidation>
        <x14:dataValidation type="list" allowBlank="1" showInputMessage="1" showErrorMessage="1" xr:uid="{00000000-0002-0000-0200-000009000000}">
          <x14:formula1>
            <xm:f>Listing!$E$4:$E$11</xm:f>
          </x14:formula1>
          <xm:sqref>D9</xm:sqref>
        </x14:dataValidation>
        <x14:dataValidation type="list" allowBlank="1" showInputMessage="1" showErrorMessage="1" xr:uid="{00000000-0002-0000-0200-00000A000000}">
          <x14:formula1>
            <xm:f>Listing!$I$4:$I$5</xm:f>
          </x14:formula1>
          <xm:sqref>G17</xm:sqref>
        </x14:dataValidation>
        <x14:dataValidation type="list" allowBlank="1" showInputMessage="1" showErrorMessage="1" xr:uid="{00000000-0002-0000-0200-00000B000000}">
          <x14:formula1>
            <xm:f>Listing!$M$4:$M$12</xm:f>
          </x14:formula1>
          <xm:sqref>F9:F10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79"/>
  <sheetViews>
    <sheetView showGridLines="0" zoomScaleNormal="100" workbookViewId="0"/>
  </sheetViews>
  <sheetFormatPr defaultColWidth="8.77734375" defaultRowHeight="11.4" x14ac:dyDescent="0.2"/>
  <cols>
    <col min="1" max="1" width="8.77734375" style="264"/>
    <col min="2" max="2" width="17.77734375" style="264" customWidth="1"/>
    <col min="3" max="3" width="8.77734375" style="264"/>
    <col min="4" max="4" width="10.44140625" style="264" bestFit="1" customWidth="1"/>
    <col min="5" max="5" width="8.77734375" style="264"/>
    <col min="6" max="6" width="11.44140625" style="264" bestFit="1" customWidth="1"/>
    <col min="7" max="7" width="11.44140625" style="264" customWidth="1"/>
    <col min="8" max="8" width="8.77734375" style="264"/>
    <col min="9" max="9" width="11.44140625" style="264" bestFit="1" customWidth="1"/>
    <col min="10" max="10" width="5.6640625" style="264" bestFit="1" customWidth="1"/>
    <col min="11" max="11" width="13" style="264" bestFit="1" customWidth="1"/>
    <col min="12" max="12" width="7.21875" style="264" bestFit="1" customWidth="1"/>
    <col min="13" max="13" width="13.21875" style="264" bestFit="1" customWidth="1"/>
    <col min="14" max="18" width="8.77734375" style="264"/>
    <col min="19" max="19" width="0" style="264" hidden="1" customWidth="1"/>
    <col min="20" max="16384" width="8.77734375" style="264"/>
  </cols>
  <sheetData>
    <row r="1" spans="1:13" ht="12" thickBot="1" x14ac:dyDescent="0.25"/>
    <row r="2" spans="1:13" ht="13.2" x14ac:dyDescent="0.25">
      <c r="A2" s="265"/>
      <c r="B2" s="266" t="s">
        <v>8</v>
      </c>
      <c r="C2" s="267" t="s">
        <v>22</v>
      </c>
      <c r="D2" s="267" t="s">
        <v>55</v>
      </c>
      <c r="E2" s="267" t="s">
        <v>60</v>
      </c>
      <c r="F2" s="268" t="s">
        <v>56</v>
      </c>
      <c r="G2" s="269"/>
      <c r="H2" s="270" t="str">
        <f>A3</f>
        <v>HIGH FASHION</v>
      </c>
      <c r="I2" s="266" t="s">
        <v>1</v>
      </c>
      <c r="J2" s="267" t="s">
        <v>22</v>
      </c>
      <c r="K2" s="267" t="s">
        <v>55</v>
      </c>
      <c r="L2" s="267" t="s">
        <v>60</v>
      </c>
      <c r="M2" s="268" t="s">
        <v>56</v>
      </c>
    </row>
    <row r="3" spans="1:13" ht="13.8" x14ac:dyDescent="0.25">
      <c r="A3" s="264" t="str">
        <f>IF(Model!D9&lt;=1.25,"BASIC",IF(B3&lt;=1.55,"SEMI FASHION",IF(B3&lt;=1.85,"FASHION","HIGH FASHION")))</f>
        <v>HIGH FASHION</v>
      </c>
      <c r="B3" s="264" t="s">
        <v>24</v>
      </c>
      <c r="C3" s="271">
        <v>2.2999999999999998</v>
      </c>
      <c r="D3" s="271">
        <v>2.5</v>
      </c>
      <c r="E3" s="271">
        <v>2.75</v>
      </c>
      <c r="F3" s="272">
        <v>3</v>
      </c>
      <c r="G3" s="273"/>
      <c r="H3" s="264" t="str">
        <f>Model!D10</f>
        <v>&lt;=500</v>
      </c>
      <c r="I3" s="274" t="s">
        <v>46</v>
      </c>
      <c r="J3" s="16">
        <v>0.6</v>
      </c>
      <c r="K3" s="16">
        <v>0.65</v>
      </c>
      <c r="L3" s="16">
        <v>0.7</v>
      </c>
      <c r="M3" s="16">
        <v>0.75</v>
      </c>
    </row>
    <row r="4" spans="1:13" ht="13.8" x14ac:dyDescent="0.25">
      <c r="H4" s="264" t="str">
        <f>H3</f>
        <v>&lt;=500</v>
      </c>
      <c r="I4" s="274" t="s">
        <v>47</v>
      </c>
      <c r="J4" s="16">
        <v>0.5</v>
      </c>
      <c r="K4" s="16">
        <v>0.5</v>
      </c>
      <c r="L4" s="16">
        <v>0.5</v>
      </c>
      <c r="M4" s="16">
        <v>0.5</v>
      </c>
    </row>
    <row r="5" spans="1:13" ht="13.8" x14ac:dyDescent="0.25">
      <c r="H5" s="264" t="str">
        <f t="shared" ref="H5:H11" si="0">H4</f>
        <v>&lt;=500</v>
      </c>
      <c r="I5" s="274" t="s">
        <v>48</v>
      </c>
      <c r="J5" s="16">
        <v>0.5</v>
      </c>
      <c r="K5" s="16">
        <v>0.5</v>
      </c>
      <c r="L5" s="16">
        <v>0.5</v>
      </c>
      <c r="M5" s="16">
        <v>0.5</v>
      </c>
    </row>
    <row r="6" spans="1:13" ht="13.8" x14ac:dyDescent="0.25">
      <c r="H6" s="264" t="str">
        <f t="shared" si="0"/>
        <v>&lt;=500</v>
      </c>
      <c r="I6" s="274" t="s">
        <v>49</v>
      </c>
      <c r="J6" s="16">
        <v>0.5</v>
      </c>
      <c r="K6" s="16">
        <v>0.5</v>
      </c>
      <c r="L6" s="16">
        <v>0.5</v>
      </c>
      <c r="M6" s="16">
        <v>0.5</v>
      </c>
    </row>
    <row r="7" spans="1:13" ht="13.8" x14ac:dyDescent="0.25">
      <c r="H7" s="264" t="str">
        <f t="shared" si="0"/>
        <v>&lt;=500</v>
      </c>
      <c r="I7" s="274" t="s">
        <v>50</v>
      </c>
      <c r="J7" s="16">
        <v>0.5</v>
      </c>
      <c r="K7" s="16">
        <v>0.5</v>
      </c>
      <c r="L7" s="16">
        <v>0.5</v>
      </c>
      <c r="M7" s="16">
        <v>0.5</v>
      </c>
    </row>
    <row r="8" spans="1:13" ht="13.8" x14ac:dyDescent="0.25">
      <c r="H8" s="264" t="str">
        <f t="shared" si="0"/>
        <v>&lt;=500</v>
      </c>
      <c r="I8" s="274" t="s">
        <v>39</v>
      </c>
      <c r="J8" s="16">
        <v>0.5</v>
      </c>
      <c r="K8" s="16">
        <v>0.5</v>
      </c>
      <c r="L8" s="16">
        <v>0.5</v>
      </c>
      <c r="M8" s="16">
        <v>0.5</v>
      </c>
    </row>
    <row r="9" spans="1:13" ht="13.8" x14ac:dyDescent="0.25">
      <c r="H9" s="264" t="str">
        <f t="shared" si="0"/>
        <v>&lt;=500</v>
      </c>
      <c r="I9" s="274" t="s">
        <v>51</v>
      </c>
      <c r="J9" s="16">
        <v>0.4</v>
      </c>
      <c r="K9" s="16">
        <v>0.4</v>
      </c>
      <c r="L9" s="16">
        <v>0.4</v>
      </c>
      <c r="M9" s="16">
        <v>0.4</v>
      </c>
    </row>
    <row r="10" spans="1:13" ht="13.8" x14ac:dyDescent="0.25">
      <c r="H10" s="264" t="str">
        <f t="shared" si="0"/>
        <v>&lt;=500</v>
      </c>
      <c r="I10" s="274" t="s">
        <v>52</v>
      </c>
      <c r="J10" s="16">
        <v>0.4</v>
      </c>
      <c r="K10" s="16">
        <v>0.4</v>
      </c>
      <c r="L10" s="16">
        <v>0.4</v>
      </c>
      <c r="M10" s="16">
        <v>0.4</v>
      </c>
    </row>
    <row r="11" spans="1:13" ht="14.4" thickBot="1" x14ac:dyDescent="0.3">
      <c r="H11" s="264" t="str">
        <f t="shared" si="0"/>
        <v>&lt;=500</v>
      </c>
      <c r="I11" s="274" t="s">
        <v>53</v>
      </c>
      <c r="J11" s="16">
        <v>0.4</v>
      </c>
      <c r="K11" s="16">
        <v>0.4</v>
      </c>
      <c r="L11" s="16">
        <v>0.4</v>
      </c>
      <c r="M11" s="16">
        <v>0.4</v>
      </c>
    </row>
    <row r="12" spans="1:13" ht="14.4" thickBot="1" x14ac:dyDescent="0.3">
      <c r="I12" s="275" t="str">
        <f>H3</f>
        <v>&lt;=500</v>
      </c>
      <c r="J12" s="276">
        <f t="array" ref="J12">SUM(IF($I$3:$I$11=$I12,IF($H2='Master Grid'!J$2,'Master Grid'!J$3:J$11)))</f>
        <v>0</v>
      </c>
      <c r="K12" s="276">
        <f t="array" ref="K12">SUM(IF($I$3:$I$11=$I12,IF($H2='Master Grid'!K$2,'Master Grid'!K$3:K$11)))</f>
        <v>0</v>
      </c>
      <c r="L12" s="276">
        <f t="array" ref="L12">SUM(IF($I$3:$I$11=$I12,IF($H2='Master Grid'!L$2,'Master Grid'!L$3:L$11)))</f>
        <v>0</v>
      </c>
      <c r="M12" s="276">
        <f t="array" ref="M12">SUM(IF($I$3:$I$11=$I12,IF($H2='Master Grid'!M$2,'Master Grid'!M$3:M$11)))</f>
        <v>0.75</v>
      </c>
    </row>
    <row r="13" spans="1:13" ht="13.2" x14ac:dyDescent="0.25">
      <c r="H13" s="270" t="str">
        <f>A3</f>
        <v>HIGH FASHION</v>
      </c>
      <c r="I13" s="266" t="s">
        <v>8</v>
      </c>
      <c r="J13" s="267" t="s">
        <v>22</v>
      </c>
      <c r="K13" s="267" t="s">
        <v>55</v>
      </c>
      <c r="L13" s="267" t="s">
        <v>60</v>
      </c>
      <c r="M13" s="268" t="s">
        <v>56</v>
      </c>
    </row>
    <row r="14" spans="1:13" ht="13.8" x14ac:dyDescent="0.25">
      <c r="H14" s="264" t="str">
        <f>Model!D10</f>
        <v>&lt;=500</v>
      </c>
      <c r="I14" s="274" t="s">
        <v>46</v>
      </c>
      <c r="J14" s="16">
        <v>0.3</v>
      </c>
      <c r="K14" s="16">
        <v>0.3</v>
      </c>
      <c r="L14" s="16">
        <v>0.3</v>
      </c>
      <c r="M14" s="16">
        <v>0.3</v>
      </c>
    </row>
    <row r="15" spans="1:13" ht="13.8" x14ac:dyDescent="0.25">
      <c r="H15" s="264" t="str">
        <f>H14</f>
        <v>&lt;=500</v>
      </c>
      <c r="I15" s="274" t="s">
        <v>47</v>
      </c>
      <c r="J15" s="16">
        <v>0.25</v>
      </c>
      <c r="K15" s="16">
        <v>0.25</v>
      </c>
      <c r="L15" s="16">
        <v>0.25</v>
      </c>
      <c r="M15" s="16">
        <v>0.25</v>
      </c>
    </row>
    <row r="16" spans="1:13" ht="13.8" x14ac:dyDescent="0.25">
      <c r="H16" s="264" t="str">
        <f t="shared" ref="H16:H22" si="1">H15</f>
        <v>&lt;=500</v>
      </c>
      <c r="I16" s="274" t="s">
        <v>48</v>
      </c>
      <c r="J16" s="16">
        <v>0.25</v>
      </c>
      <c r="K16" s="16">
        <v>0.25</v>
      </c>
      <c r="L16" s="16">
        <v>0.25</v>
      </c>
      <c r="M16" s="16">
        <v>0.25</v>
      </c>
    </row>
    <row r="17" spans="1:19" ht="13.8" x14ac:dyDescent="0.25">
      <c r="H17" s="264" t="str">
        <f t="shared" si="1"/>
        <v>&lt;=500</v>
      </c>
      <c r="I17" s="274" t="s">
        <v>49</v>
      </c>
      <c r="J17" s="16">
        <v>0.25</v>
      </c>
      <c r="K17" s="16">
        <v>0.25</v>
      </c>
      <c r="L17" s="16">
        <v>0.25</v>
      </c>
      <c r="M17" s="16">
        <v>0.25</v>
      </c>
    </row>
    <row r="18" spans="1:19" ht="13.8" x14ac:dyDescent="0.25">
      <c r="H18" s="264" t="str">
        <f t="shared" si="1"/>
        <v>&lt;=500</v>
      </c>
      <c r="I18" s="274" t="s">
        <v>50</v>
      </c>
      <c r="J18" s="16">
        <v>0.25</v>
      </c>
      <c r="K18" s="16">
        <v>0.25</v>
      </c>
      <c r="L18" s="16">
        <v>0.25</v>
      </c>
      <c r="M18" s="16">
        <v>0.25</v>
      </c>
    </row>
    <row r="19" spans="1:19" ht="13.8" x14ac:dyDescent="0.25">
      <c r="H19" s="264" t="str">
        <f t="shared" si="1"/>
        <v>&lt;=500</v>
      </c>
      <c r="I19" s="274" t="s">
        <v>39</v>
      </c>
      <c r="J19" s="16">
        <v>0.25</v>
      </c>
      <c r="K19" s="16">
        <v>0.25</v>
      </c>
      <c r="L19" s="16">
        <v>0.25</v>
      </c>
      <c r="M19" s="16">
        <v>0.25</v>
      </c>
    </row>
    <row r="20" spans="1:19" ht="13.8" x14ac:dyDescent="0.25">
      <c r="H20" s="264" t="str">
        <f t="shared" si="1"/>
        <v>&lt;=500</v>
      </c>
      <c r="I20" s="274" t="s">
        <v>51</v>
      </c>
      <c r="J20" s="16">
        <v>0.2</v>
      </c>
      <c r="K20" s="16">
        <v>0.2</v>
      </c>
      <c r="L20" s="16">
        <v>0.2</v>
      </c>
      <c r="M20" s="16">
        <v>0.2</v>
      </c>
    </row>
    <row r="21" spans="1:19" ht="13.8" x14ac:dyDescent="0.25">
      <c r="H21" s="264" t="str">
        <f t="shared" si="1"/>
        <v>&lt;=500</v>
      </c>
      <c r="I21" s="274" t="s">
        <v>52</v>
      </c>
      <c r="J21" s="16">
        <v>0.2</v>
      </c>
      <c r="K21" s="16">
        <v>0.2</v>
      </c>
      <c r="L21" s="16">
        <v>0.2</v>
      </c>
      <c r="M21" s="16">
        <v>0.2</v>
      </c>
    </row>
    <row r="22" spans="1:19" ht="14.4" thickBot="1" x14ac:dyDescent="0.3">
      <c r="H22" s="264" t="str">
        <f t="shared" si="1"/>
        <v>&lt;=500</v>
      </c>
      <c r="I22" s="274" t="s">
        <v>53</v>
      </c>
      <c r="J22" s="16">
        <v>0.2</v>
      </c>
      <c r="K22" s="16">
        <v>0.2</v>
      </c>
      <c r="L22" s="16">
        <v>0.2</v>
      </c>
      <c r="M22" s="16">
        <v>0.2</v>
      </c>
    </row>
    <row r="23" spans="1:19" ht="14.4" thickBot="1" x14ac:dyDescent="0.3">
      <c r="C23" s="265" t="b">
        <f>IF(Model!J11&lt;='Master Grid'!C25,'Master Grid'!C24)</f>
        <v>0</v>
      </c>
      <c r="D23" s="265" t="b">
        <f>IF(AND(Model!J11&gt;3),IF(Model!J11&lt;='Master Grid'!D25,'Master Grid'!D24))</f>
        <v>0</v>
      </c>
      <c r="E23" s="265" t="str">
        <f>IF(AND(Model!J11&gt;5),IF(Model!J11&lt;='Master Grid'!E25,'Master Grid'!E24))</f>
        <v>FASHION</v>
      </c>
      <c r="F23" s="265" t="str">
        <f>IF(AND(Model!J11&gt;7),'Master Grid'!F24)</f>
        <v>HIGH FASHION</v>
      </c>
      <c r="I23" s="275" t="str">
        <f>H14</f>
        <v>&lt;=500</v>
      </c>
      <c r="J23" s="276">
        <f t="array" ref="J23">SUM(IF($I$14:$I$22=$I23,IF($H13='Master Grid'!J$13,'Master Grid'!J$14:J$22)))</f>
        <v>0</v>
      </c>
      <c r="K23" s="276">
        <f t="array" ref="K23">SUM(IF($I$14:$I$22=$I23,IF($H13='Master Grid'!K$13,'Master Grid'!K$14:K$22)))</f>
        <v>0</v>
      </c>
      <c r="L23" s="276">
        <f t="array" ref="L23">SUM(IF($I$14:$I$22=$I23,IF($H13='Master Grid'!L$13,'Master Grid'!L$14:L$22)))</f>
        <v>0</v>
      </c>
      <c r="M23" s="276">
        <f t="array" ref="M23">SUM(IF($I$14:$I$22=$I23,IF($H13='Master Grid'!M$13,'Master Grid'!M$14:M$22)))</f>
        <v>0.3</v>
      </c>
    </row>
    <row r="24" spans="1:19" ht="13.2" x14ac:dyDescent="0.25">
      <c r="A24" s="265"/>
      <c r="B24" s="266" t="s">
        <v>44</v>
      </c>
      <c r="C24" s="267" t="s">
        <v>22</v>
      </c>
      <c r="D24" s="267" t="s">
        <v>55</v>
      </c>
      <c r="E24" s="267" t="s">
        <v>60</v>
      </c>
      <c r="F24" s="268" t="s">
        <v>56</v>
      </c>
      <c r="G24" s="269"/>
      <c r="H24" s="265" t="str">
        <f>A25</f>
        <v>FASHION</v>
      </c>
      <c r="I24" s="266" t="s">
        <v>44</v>
      </c>
      <c r="J24" s="267" t="s">
        <v>22</v>
      </c>
      <c r="K24" s="267" t="s">
        <v>55</v>
      </c>
      <c r="L24" s="267" t="s">
        <v>60</v>
      </c>
      <c r="M24" s="268" t="s">
        <v>56</v>
      </c>
      <c r="N24" s="277"/>
    </row>
    <row r="25" spans="1:19" ht="13.8" x14ac:dyDescent="0.25">
      <c r="A25" s="265" t="str">
        <f>IF(C23=C24,C24,IF(D23=D24,D24,IF(E23=E24,E24,IF(F23=F24,F24))))</f>
        <v>FASHION</v>
      </c>
      <c r="B25" s="278" t="s">
        <v>45</v>
      </c>
      <c r="C25" s="279">
        <v>18</v>
      </c>
      <c r="D25" s="279">
        <v>23</v>
      </c>
      <c r="E25" s="279">
        <v>36</v>
      </c>
      <c r="F25" s="280">
        <v>61</v>
      </c>
      <c r="G25" s="281"/>
      <c r="H25" s="265" t="str">
        <f>Model!D10</f>
        <v>&lt;=500</v>
      </c>
      <c r="I25" s="274" t="s">
        <v>46</v>
      </c>
      <c r="J25" s="16">
        <v>1.5</v>
      </c>
      <c r="K25" s="16">
        <v>1.5</v>
      </c>
      <c r="L25" s="16">
        <v>1.5</v>
      </c>
      <c r="M25" s="16">
        <v>1.5</v>
      </c>
      <c r="N25" s="282"/>
      <c r="S25" s="264" t="s">
        <v>62</v>
      </c>
    </row>
    <row r="26" spans="1:19" ht="13.8" x14ac:dyDescent="0.25">
      <c r="A26" s="265" t="str">
        <f t="shared" ref="A26:A34" si="2">H25</f>
        <v>&lt;=500</v>
      </c>
      <c r="B26" s="274" t="s">
        <v>46</v>
      </c>
      <c r="C26" s="283">
        <v>54</v>
      </c>
      <c r="D26" s="283">
        <v>50</v>
      </c>
      <c r="E26" s="283">
        <v>47</v>
      </c>
      <c r="F26" s="284">
        <v>45</v>
      </c>
      <c r="G26" s="273"/>
      <c r="H26" s="265" t="str">
        <f>H25</f>
        <v>&lt;=500</v>
      </c>
      <c r="I26" s="274" t="s">
        <v>47</v>
      </c>
      <c r="J26" s="16">
        <v>0.75</v>
      </c>
      <c r="K26" s="16">
        <v>1</v>
      </c>
      <c r="L26" s="16">
        <v>1</v>
      </c>
      <c r="M26" s="16">
        <v>1</v>
      </c>
      <c r="N26" s="282"/>
      <c r="S26" s="264" t="s">
        <v>63</v>
      </c>
    </row>
    <row r="27" spans="1:19" ht="13.8" x14ac:dyDescent="0.25">
      <c r="A27" s="265" t="str">
        <f t="shared" si="2"/>
        <v>&lt;=500</v>
      </c>
      <c r="B27" s="274" t="s">
        <v>47</v>
      </c>
      <c r="C27" s="283">
        <v>56.000000000000007</v>
      </c>
      <c r="D27" s="283">
        <v>52</v>
      </c>
      <c r="E27" s="283">
        <v>48</v>
      </c>
      <c r="F27" s="284">
        <v>46</v>
      </c>
      <c r="G27" s="273"/>
      <c r="H27" s="265" t="str">
        <f t="shared" ref="H27:H33" si="3">H26</f>
        <v>&lt;=500</v>
      </c>
      <c r="I27" s="274" t="s">
        <v>48</v>
      </c>
      <c r="J27" s="16">
        <v>0.75</v>
      </c>
      <c r="K27" s="16">
        <v>1</v>
      </c>
      <c r="L27" s="16">
        <v>1</v>
      </c>
      <c r="M27" s="16">
        <v>1</v>
      </c>
      <c r="N27" s="282"/>
      <c r="S27" s="264" t="s">
        <v>64</v>
      </c>
    </row>
    <row r="28" spans="1:19" ht="13.8" x14ac:dyDescent="0.25">
      <c r="A28" s="265" t="str">
        <f t="shared" si="2"/>
        <v>&lt;=500</v>
      </c>
      <c r="B28" s="274" t="s">
        <v>48</v>
      </c>
      <c r="C28" s="283">
        <v>57.999999999999993</v>
      </c>
      <c r="D28" s="283">
        <v>53</v>
      </c>
      <c r="E28" s="283">
        <v>50</v>
      </c>
      <c r="F28" s="284">
        <v>48</v>
      </c>
      <c r="G28" s="273"/>
      <c r="H28" s="265" t="str">
        <f t="shared" si="3"/>
        <v>&lt;=500</v>
      </c>
      <c r="I28" s="274" t="s">
        <v>49</v>
      </c>
      <c r="J28" s="16">
        <v>0.75</v>
      </c>
      <c r="K28" s="16">
        <v>0.75</v>
      </c>
      <c r="L28" s="16">
        <v>0.75</v>
      </c>
      <c r="M28" s="16">
        <v>0.75</v>
      </c>
      <c r="N28" s="282"/>
      <c r="S28" s="264" t="s">
        <v>65</v>
      </c>
    </row>
    <row r="29" spans="1:19" ht="13.8" x14ac:dyDescent="0.25">
      <c r="A29" s="265" t="str">
        <f t="shared" si="2"/>
        <v>&lt;=500</v>
      </c>
      <c r="B29" s="274" t="s">
        <v>49</v>
      </c>
      <c r="C29" s="283">
        <v>60</v>
      </c>
      <c r="D29" s="283">
        <v>55.000000000000007</v>
      </c>
      <c r="E29" s="283">
        <v>52</v>
      </c>
      <c r="F29" s="284">
        <v>50</v>
      </c>
      <c r="G29" s="273"/>
      <c r="H29" s="265" t="str">
        <f t="shared" si="3"/>
        <v>&lt;=500</v>
      </c>
      <c r="I29" s="274" t="s">
        <v>50</v>
      </c>
      <c r="J29" s="16">
        <v>0.65</v>
      </c>
      <c r="K29" s="16">
        <v>0.85</v>
      </c>
      <c r="L29" s="16">
        <v>0.85</v>
      </c>
      <c r="M29" s="16">
        <v>0.85</v>
      </c>
      <c r="N29" s="282"/>
      <c r="S29" s="264" t="s">
        <v>66</v>
      </c>
    </row>
    <row r="30" spans="1:19" ht="13.8" x14ac:dyDescent="0.25">
      <c r="A30" s="265" t="str">
        <f t="shared" si="2"/>
        <v>&lt;=500</v>
      </c>
      <c r="B30" s="274" t="s">
        <v>50</v>
      </c>
      <c r="C30" s="283">
        <v>62</v>
      </c>
      <c r="D30" s="283">
        <v>56.999999999999993</v>
      </c>
      <c r="E30" s="283">
        <v>54</v>
      </c>
      <c r="F30" s="284">
        <v>52</v>
      </c>
      <c r="G30" s="273"/>
      <c r="H30" s="265" t="str">
        <f t="shared" si="3"/>
        <v>&lt;=500</v>
      </c>
      <c r="I30" s="274" t="s">
        <v>39</v>
      </c>
      <c r="J30" s="16">
        <v>0.65</v>
      </c>
      <c r="K30" s="16">
        <v>0.85</v>
      </c>
      <c r="L30" s="16">
        <v>0.85</v>
      </c>
      <c r="M30" s="16">
        <v>0.85</v>
      </c>
      <c r="N30" s="282"/>
      <c r="S30" s="264" t="s">
        <v>67</v>
      </c>
    </row>
    <row r="31" spans="1:19" ht="13.8" x14ac:dyDescent="0.25">
      <c r="A31" s="265" t="str">
        <f t="shared" si="2"/>
        <v>&lt;=500</v>
      </c>
      <c r="B31" s="274" t="s">
        <v>39</v>
      </c>
      <c r="C31" s="283">
        <v>65</v>
      </c>
      <c r="D31" s="283">
        <v>59</v>
      </c>
      <c r="E31" s="283">
        <v>56.000000000000007</v>
      </c>
      <c r="F31" s="284">
        <v>54</v>
      </c>
      <c r="G31" s="273"/>
      <c r="H31" s="265" t="str">
        <f t="shared" si="3"/>
        <v>&lt;=500</v>
      </c>
      <c r="I31" s="274" t="s">
        <v>51</v>
      </c>
      <c r="J31" s="16">
        <v>0.5</v>
      </c>
      <c r="K31" s="16">
        <v>0.65</v>
      </c>
      <c r="L31" s="16">
        <v>0.75</v>
      </c>
      <c r="M31" s="16">
        <v>0.75</v>
      </c>
      <c r="N31" s="282"/>
      <c r="S31" s="264" t="s">
        <v>68</v>
      </c>
    </row>
    <row r="32" spans="1:19" ht="13.8" x14ac:dyDescent="0.25">
      <c r="A32" s="265" t="str">
        <f t="shared" si="2"/>
        <v>&lt;=500</v>
      </c>
      <c r="B32" s="274" t="s">
        <v>51</v>
      </c>
      <c r="C32" s="283">
        <v>68</v>
      </c>
      <c r="D32" s="283">
        <v>62</v>
      </c>
      <c r="E32" s="283">
        <v>57.999999999999993</v>
      </c>
      <c r="F32" s="284">
        <v>56.000000000000007</v>
      </c>
      <c r="G32" s="273"/>
      <c r="H32" s="265" t="str">
        <f t="shared" si="3"/>
        <v>&lt;=500</v>
      </c>
      <c r="I32" s="274" t="s">
        <v>52</v>
      </c>
      <c r="J32" s="16">
        <v>0.5</v>
      </c>
      <c r="K32" s="16">
        <v>0.65</v>
      </c>
      <c r="L32" s="16">
        <v>0.75</v>
      </c>
      <c r="M32" s="16">
        <v>0.75</v>
      </c>
      <c r="N32" s="282"/>
      <c r="S32" s="264" t="s">
        <v>69</v>
      </c>
    </row>
    <row r="33" spans="1:19" ht="14.4" thickBot="1" x14ac:dyDescent="0.3">
      <c r="A33" s="265" t="str">
        <f t="shared" si="2"/>
        <v>&lt;=500</v>
      </c>
      <c r="B33" s="274" t="s">
        <v>52</v>
      </c>
      <c r="C33" s="283">
        <v>72</v>
      </c>
      <c r="D33" s="283">
        <v>65</v>
      </c>
      <c r="E33" s="283">
        <v>60</v>
      </c>
      <c r="F33" s="284">
        <v>57.999999999999993</v>
      </c>
      <c r="G33" s="273"/>
      <c r="H33" s="265" t="str">
        <f t="shared" si="3"/>
        <v>&lt;=500</v>
      </c>
      <c r="I33" s="274" t="s">
        <v>53</v>
      </c>
      <c r="J33" s="16">
        <v>0.5</v>
      </c>
      <c r="K33" s="16">
        <v>0.65</v>
      </c>
      <c r="L33" s="16">
        <v>0.75</v>
      </c>
      <c r="M33" s="16">
        <v>0.75</v>
      </c>
      <c r="N33" s="282"/>
      <c r="S33" s="264" t="s">
        <v>70</v>
      </c>
    </row>
    <row r="34" spans="1:19" ht="14.4" thickBot="1" x14ac:dyDescent="0.3">
      <c r="A34" s="265" t="str">
        <f t="shared" si="2"/>
        <v>&lt;=500</v>
      </c>
      <c r="B34" s="274" t="s">
        <v>53</v>
      </c>
      <c r="C34" s="283">
        <v>75</v>
      </c>
      <c r="D34" s="283">
        <v>66</v>
      </c>
      <c r="E34" s="283">
        <v>62</v>
      </c>
      <c r="F34" s="284">
        <v>60</v>
      </c>
      <c r="G34" s="273"/>
      <c r="H34" s="265"/>
      <c r="I34" s="275" t="str">
        <f>H25</f>
        <v>&lt;=500</v>
      </c>
      <c r="J34" s="276">
        <f t="array" ref="J34">SUM(IF($I$25:$I$33=$I34,IF($H24='Master Grid'!J$24,'Master Grid'!J$25:J$33)))</f>
        <v>0</v>
      </c>
      <c r="K34" s="276">
        <f t="array" ref="K34">SUM(IF($I$25:$I$33=$I34,IF($H24='Master Grid'!K$24,'Master Grid'!K$25:K$33)))</f>
        <v>0</v>
      </c>
      <c r="L34" s="276">
        <f t="array" ref="L34">SUM(IF($I$25:$I$33=$I34,IF($H24='Master Grid'!L$24,'Master Grid'!L$25:L$33)))</f>
        <v>1.5</v>
      </c>
      <c r="M34" s="276">
        <f t="array" ref="M34">SUM(IF($I$25:$I$33=$I34,IF($H24='Master Grid'!M$24,'Master Grid'!M$25:M$33)))</f>
        <v>0</v>
      </c>
      <c r="N34" s="197"/>
      <c r="S34" s="264" t="s">
        <v>71</v>
      </c>
    </row>
    <row r="35" spans="1:19" ht="13.8" thickBot="1" x14ac:dyDescent="0.3">
      <c r="A35" s="265"/>
      <c r="B35" s="285"/>
      <c r="C35" s="286"/>
      <c r="D35" s="286"/>
      <c r="E35" s="286"/>
      <c r="F35" s="287"/>
      <c r="G35" s="273"/>
      <c r="H35" s="265"/>
      <c r="I35" s="285"/>
      <c r="J35" s="288"/>
      <c r="K35" s="288"/>
      <c r="L35" s="288"/>
      <c r="M35" s="289"/>
      <c r="N35" s="290"/>
      <c r="S35" s="264" t="s">
        <v>72</v>
      </c>
    </row>
    <row r="36" spans="1:19" ht="13.8" thickBot="1" x14ac:dyDescent="0.3">
      <c r="A36" s="265"/>
      <c r="B36" s="265"/>
      <c r="C36" s="265" t="b">
        <f>IF(Model!$D11&lt;='Master Grid'!C38,'Master Grid'!C37)</f>
        <v>0</v>
      </c>
      <c r="D36" s="265" t="b">
        <f>IF(AND(Model!$D11&gt;3),IF(Model!D11&lt;='Master Grid'!D38,'Master Grid'!D37))</f>
        <v>0</v>
      </c>
      <c r="E36" s="265" t="b">
        <f>IF(AND(Model!$D11&gt;5),IF(Model!D11&lt;='Master Grid'!E38,'Master Grid'!E37))</f>
        <v>0</v>
      </c>
      <c r="F36" s="265" t="str">
        <f>IF(AND(Model!$D11&gt;7),'Master Grid'!F37)</f>
        <v>HIGH FASHION</v>
      </c>
      <c r="G36" s="265"/>
      <c r="H36" s="265"/>
      <c r="I36" s="265"/>
      <c r="J36" s="265"/>
      <c r="K36" s="265"/>
      <c r="L36" s="265"/>
      <c r="M36" s="265"/>
      <c r="N36" s="265"/>
      <c r="S36" s="264" t="s">
        <v>74</v>
      </c>
    </row>
    <row r="37" spans="1:19" ht="13.2" x14ac:dyDescent="0.25">
      <c r="A37" s="265"/>
      <c r="B37" s="291" t="s">
        <v>6</v>
      </c>
      <c r="C37" s="267" t="s">
        <v>22</v>
      </c>
      <c r="D37" s="267" t="s">
        <v>55</v>
      </c>
      <c r="E37" s="267" t="s">
        <v>60</v>
      </c>
      <c r="F37" s="268" t="s">
        <v>56</v>
      </c>
      <c r="G37" s="269"/>
      <c r="H37" s="265"/>
      <c r="I37" s="266" t="s">
        <v>7</v>
      </c>
      <c r="J37" s="267" t="s">
        <v>22</v>
      </c>
      <c r="K37" s="267" t="s">
        <v>55</v>
      </c>
      <c r="L37" s="267" t="s">
        <v>60</v>
      </c>
      <c r="M37" s="268" t="s">
        <v>56</v>
      </c>
      <c r="N37" s="277"/>
      <c r="S37" s="264" t="s">
        <v>75</v>
      </c>
    </row>
    <row r="38" spans="1:19" ht="13.8" x14ac:dyDescent="0.25">
      <c r="A38" s="265" t="str">
        <f>IF(C36=C37,C37,IF(D36=D37,D37,IF(E36=E37,E37,IF(F36=F37,F37))))</f>
        <v>HIGH FASHION</v>
      </c>
      <c r="B38" s="274" t="s">
        <v>45</v>
      </c>
      <c r="C38" s="198">
        <v>1.01</v>
      </c>
      <c r="D38" s="198">
        <v>1.25</v>
      </c>
      <c r="E38" s="198">
        <v>2</v>
      </c>
      <c r="F38" s="199">
        <v>4</v>
      </c>
      <c r="G38" s="273"/>
      <c r="H38" s="265" t="str">
        <f>A38</f>
        <v>HIGH FASHION</v>
      </c>
      <c r="I38" s="274" t="s">
        <v>46</v>
      </c>
      <c r="J38" s="16">
        <v>0.5</v>
      </c>
      <c r="K38" s="16">
        <v>0.5</v>
      </c>
      <c r="L38" s="16">
        <v>0.5</v>
      </c>
      <c r="M38" s="16">
        <v>0.5</v>
      </c>
      <c r="N38" s="282"/>
    </row>
    <row r="39" spans="1:19" ht="13.8" x14ac:dyDescent="0.25">
      <c r="A39" s="265" t="str">
        <f t="shared" ref="A39:A47" si="4">A26</f>
        <v>&lt;=500</v>
      </c>
      <c r="B39" s="274" t="s">
        <v>46</v>
      </c>
      <c r="C39" s="283">
        <v>55.000000000000007</v>
      </c>
      <c r="D39" s="283">
        <v>52</v>
      </c>
      <c r="E39" s="283">
        <v>50</v>
      </c>
      <c r="F39" s="284">
        <v>48</v>
      </c>
      <c r="G39" s="273"/>
      <c r="H39" s="265" t="str">
        <f>Model!D10</f>
        <v>&lt;=500</v>
      </c>
      <c r="I39" s="274" t="s">
        <v>47</v>
      </c>
      <c r="J39" s="16">
        <v>0.5</v>
      </c>
      <c r="K39" s="16">
        <v>0.5</v>
      </c>
      <c r="L39" s="16">
        <v>0.5</v>
      </c>
      <c r="M39" s="16">
        <v>0.5</v>
      </c>
      <c r="N39" s="282"/>
    </row>
    <row r="40" spans="1:19" ht="13.8" x14ac:dyDescent="0.25">
      <c r="A40" s="265" t="str">
        <f t="shared" si="4"/>
        <v>&lt;=500</v>
      </c>
      <c r="B40" s="274" t="s">
        <v>47</v>
      </c>
      <c r="C40" s="283">
        <v>56.000000000000007</v>
      </c>
      <c r="D40" s="283">
        <v>55.000000000000007</v>
      </c>
      <c r="E40" s="283">
        <v>52</v>
      </c>
      <c r="F40" s="284">
        <v>50</v>
      </c>
      <c r="G40" s="273"/>
      <c r="H40" s="265" t="str">
        <f>H39</f>
        <v>&lt;=500</v>
      </c>
      <c r="I40" s="274" t="s">
        <v>48</v>
      </c>
      <c r="J40" s="16">
        <v>0.25</v>
      </c>
      <c r="K40" s="16">
        <v>0.3</v>
      </c>
      <c r="L40" s="16">
        <v>0.3</v>
      </c>
      <c r="M40" s="16">
        <v>0.3</v>
      </c>
      <c r="N40" s="282"/>
    </row>
    <row r="41" spans="1:19" ht="13.8" x14ac:dyDescent="0.25">
      <c r="A41" s="265" t="str">
        <f t="shared" si="4"/>
        <v>&lt;=500</v>
      </c>
      <c r="B41" s="274" t="s">
        <v>48</v>
      </c>
      <c r="C41" s="283">
        <v>57.999999999999993</v>
      </c>
      <c r="D41" s="283">
        <v>56.000000000000007</v>
      </c>
      <c r="E41" s="283">
        <v>54</v>
      </c>
      <c r="F41" s="284">
        <v>52</v>
      </c>
      <c r="G41" s="273"/>
      <c r="H41" s="265" t="str">
        <f t="shared" ref="H41:H47" si="5">H40</f>
        <v>&lt;=500</v>
      </c>
      <c r="I41" s="274" t="s">
        <v>49</v>
      </c>
      <c r="J41" s="16">
        <v>0.25</v>
      </c>
      <c r="K41" s="16">
        <v>0.3</v>
      </c>
      <c r="L41" s="16">
        <v>0.3</v>
      </c>
      <c r="M41" s="16">
        <v>0.3</v>
      </c>
      <c r="N41" s="282"/>
    </row>
    <row r="42" spans="1:19" ht="13.8" x14ac:dyDescent="0.25">
      <c r="A42" s="265" t="str">
        <f t="shared" si="4"/>
        <v>&lt;=500</v>
      </c>
      <c r="B42" s="274" t="s">
        <v>49</v>
      </c>
      <c r="C42" s="283">
        <v>60</v>
      </c>
      <c r="D42" s="283">
        <v>56.999999999999993</v>
      </c>
      <c r="E42" s="283">
        <v>55.000000000000007</v>
      </c>
      <c r="F42" s="284">
        <v>54</v>
      </c>
      <c r="G42" s="273"/>
      <c r="H42" s="265" t="str">
        <f t="shared" si="5"/>
        <v>&lt;=500</v>
      </c>
      <c r="I42" s="274" t="s">
        <v>50</v>
      </c>
      <c r="J42" s="16">
        <v>0.25</v>
      </c>
      <c r="K42" s="16">
        <v>0.3</v>
      </c>
      <c r="L42" s="16">
        <v>0.3</v>
      </c>
      <c r="M42" s="16">
        <v>0.3</v>
      </c>
      <c r="N42" s="282"/>
    </row>
    <row r="43" spans="1:19" ht="13.8" x14ac:dyDescent="0.25">
      <c r="A43" s="265" t="str">
        <f t="shared" si="4"/>
        <v>&lt;=500</v>
      </c>
      <c r="B43" s="274" t="s">
        <v>50</v>
      </c>
      <c r="C43" s="283">
        <v>62</v>
      </c>
      <c r="D43" s="283">
        <v>59</v>
      </c>
      <c r="E43" s="283">
        <v>56.999999999999993</v>
      </c>
      <c r="F43" s="284">
        <v>56.000000000000007</v>
      </c>
      <c r="G43" s="273"/>
      <c r="H43" s="265" t="str">
        <f t="shared" si="5"/>
        <v>&lt;=500</v>
      </c>
      <c r="I43" s="274" t="s">
        <v>39</v>
      </c>
      <c r="J43" s="16">
        <v>0.25</v>
      </c>
      <c r="K43" s="16">
        <v>0.3</v>
      </c>
      <c r="L43" s="16">
        <v>0.3</v>
      </c>
      <c r="M43" s="16">
        <v>0.3</v>
      </c>
      <c r="N43" s="282"/>
    </row>
    <row r="44" spans="1:19" ht="13.8" x14ac:dyDescent="0.25">
      <c r="A44" s="265" t="str">
        <f t="shared" si="4"/>
        <v>&lt;=500</v>
      </c>
      <c r="B44" s="274" t="s">
        <v>39</v>
      </c>
      <c r="C44" s="283">
        <v>64</v>
      </c>
      <c r="D44" s="283">
        <v>60</v>
      </c>
      <c r="E44" s="283">
        <v>57.999999999999993</v>
      </c>
      <c r="F44" s="284">
        <v>56.999999999999993</v>
      </c>
      <c r="G44" s="273"/>
      <c r="H44" s="265" t="str">
        <f t="shared" si="5"/>
        <v>&lt;=500</v>
      </c>
      <c r="I44" s="274" t="s">
        <v>51</v>
      </c>
      <c r="J44" s="16">
        <v>0.25</v>
      </c>
      <c r="K44" s="16">
        <v>0.3</v>
      </c>
      <c r="L44" s="16">
        <v>0.3</v>
      </c>
      <c r="M44" s="16">
        <v>0.3</v>
      </c>
      <c r="N44" s="282"/>
    </row>
    <row r="45" spans="1:19" ht="13.8" x14ac:dyDescent="0.25">
      <c r="A45" s="265" t="str">
        <f t="shared" si="4"/>
        <v>&lt;=500</v>
      </c>
      <c r="B45" s="274" t="s">
        <v>51</v>
      </c>
      <c r="C45" s="283">
        <v>67</v>
      </c>
      <c r="D45" s="283">
        <v>65</v>
      </c>
      <c r="E45" s="283">
        <v>61</v>
      </c>
      <c r="F45" s="284">
        <v>59</v>
      </c>
      <c r="G45" s="273"/>
      <c r="H45" s="265" t="str">
        <f t="shared" si="5"/>
        <v>&lt;=500</v>
      </c>
      <c r="I45" s="274" t="s">
        <v>52</v>
      </c>
      <c r="J45" s="16">
        <v>0.25</v>
      </c>
      <c r="K45" s="16">
        <v>0.3</v>
      </c>
      <c r="L45" s="16">
        <v>0.3</v>
      </c>
      <c r="M45" s="16">
        <v>0.3</v>
      </c>
      <c r="N45" s="282"/>
    </row>
    <row r="46" spans="1:19" ht="13.8" x14ac:dyDescent="0.25">
      <c r="A46" s="265" t="str">
        <f t="shared" si="4"/>
        <v>&lt;=500</v>
      </c>
      <c r="B46" s="274" t="s">
        <v>52</v>
      </c>
      <c r="C46" s="283">
        <v>70</v>
      </c>
      <c r="D46" s="283">
        <v>67</v>
      </c>
      <c r="E46" s="283">
        <v>64</v>
      </c>
      <c r="F46" s="284">
        <v>60</v>
      </c>
      <c r="G46" s="273"/>
      <c r="H46" s="265" t="str">
        <f t="shared" si="5"/>
        <v>&lt;=500</v>
      </c>
      <c r="I46" s="274" t="s">
        <v>53</v>
      </c>
      <c r="J46" s="16">
        <v>0.25</v>
      </c>
      <c r="K46" s="16">
        <v>0.3</v>
      </c>
      <c r="L46" s="16">
        <v>0.3</v>
      </c>
      <c r="M46" s="16">
        <v>0.3</v>
      </c>
      <c r="N46" s="282"/>
    </row>
    <row r="47" spans="1:19" ht="13.8" thickBot="1" x14ac:dyDescent="0.3">
      <c r="A47" s="265" t="str">
        <f t="shared" si="4"/>
        <v>&lt;=500</v>
      </c>
      <c r="B47" s="274" t="s">
        <v>53</v>
      </c>
      <c r="C47" s="283">
        <v>75</v>
      </c>
      <c r="D47" s="283">
        <v>70</v>
      </c>
      <c r="E47" s="283">
        <v>65</v>
      </c>
      <c r="F47" s="284">
        <v>62</v>
      </c>
      <c r="G47" s="273"/>
      <c r="H47" s="265" t="str">
        <f t="shared" si="5"/>
        <v>&lt;=500</v>
      </c>
      <c r="I47" s="285"/>
      <c r="J47" s="288"/>
      <c r="K47" s="288"/>
      <c r="L47" s="288"/>
      <c r="M47" s="289"/>
      <c r="N47" s="290"/>
    </row>
    <row r="48" spans="1:19" ht="14.4" thickBot="1" x14ac:dyDescent="0.3">
      <c r="A48" s="265"/>
      <c r="B48" s="285"/>
      <c r="C48" s="286"/>
      <c r="D48" s="286"/>
      <c r="E48" s="286"/>
      <c r="F48" s="287"/>
      <c r="G48" s="273"/>
      <c r="H48" s="265"/>
      <c r="I48" s="275" t="str">
        <f>H39</f>
        <v>&lt;=500</v>
      </c>
      <c r="J48" s="276">
        <f t="array" ref="J48">SUM(IF($I$38:$I$46=$I48,IF($H38='Master Grid'!J$37,'Master Grid'!J$38:J$46)))</f>
        <v>0</v>
      </c>
      <c r="K48" s="276">
        <f t="array" ref="K48">SUM(IF($I$38:$I$46=$I48,IF($H38='Master Grid'!K$37,'Master Grid'!K$38:K$46)))</f>
        <v>0</v>
      </c>
      <c r="L48" s="276">
        <f t="array" ref="L48">SUM(IF($I$38:$I$46=$I48,IF($H38='Master Grid'!L$37,'Master Grid'!L$38:L$46)))</f>
        <v>0</v>
      </c>
      <c r="M48" s="276">
        <f t="array" ref="M48">SUM(IF($I$38:$I$46=$I48,IF($H38='Master Grid'!M$37,'Master Grid'!M$38:M$46)))</f>
        <v>0.5</v>
      </c>
      <c r="N48" s="197"/>
    </row>
    <row r="49" spans="1:14" ht="13.8" thickBot="1" x14ac:dyDescent="0.3">
      <c r="A49" s="265"/>
      <c r="B49" s="265"/>
      <c r="C49" s="265" t="b">
        <f>IF(Model!$D12&lt;='Master Grid'!C51,'Master Grid'!C50)</f>
        <v>0</v>
      </c>
      <c r="D49" s="265" t="b">
        <f>IF(AND(Model!$D12&gt;9),IF(Model!D12&lt;='Master Grid'!D51,'Master Grid'!D50))</f>
        <v>0</v>
      </c>
      <c r="E49" s="265" t="b">
        <f>IF(AND(Model!$D12&gt;11),IF(Model!D12&lt;='Master Grid'!E51,'Master Grid'!E50))</f>
        <v>0</v>
      </c>
      <c r="F49" s="265" t="str">
        <f>IF(AND(Model!$D12&gt;13),'Master Grid'!F50)</f>
        <v>HIGH FASHION</v>
      </c>
      <c r="G49" s="265"/>
      <c r="H49" s="265"/>
      <c r="I49" s="266" t="s">
        <v>81</v>
      </c>
      <c r="J49" s="267" t="s">
        <v>22</v>
      </c>
      <c r="K49" s="267" t="s">
        <v>55</v>
      </c>
      <c r="L49" s="267" t="s">
        <v>60</v>
      </c>
      <c r="M49" s="268" t="s">
        <v>56</v>
      </c>
      <c r="N49" s="277"/>
    </row>
    <row r="50" spans="1:14" ht="13.2" x14ac:dyDescent="0.25">
      <c r="A50" s="265"/>
      <c r="B50" s="291" t="s">
        <v>54</v>
      </c>
      <c r="C50" s="267" t="s">
        <v>22</v>
      </c>
      <c r="D50" s="267" t="s">
        <v>55</v>
      </c>
      <c r="E50" s="267" t="s">
        <v>60</v>
      </c>
      <c r="F50" s="268" t="s">
        <v>56</v>
      </c>
      <c r="G50" s="265"/>
      <c r="H50" s="265" t="str">
        <f>H24</f>
        <v>FASHION</v>
      </c>
      <c r="I50" s="274" t="s">
        <v>46</v>
      </c>
      <c r="J50" s="200"/>
      <c r="K50" s="200"/>
      <c r="L50" s="200"/>
      <c r="M50" s="201"/>
      <c r="N50" s="282"/>
    </row>
    <row r="51" spans="1:14" ht="13.2" x14ac:dyDescent="0.25">
      <c r="A51" s="265" t="str">
        <f>IF(C49=C50,C50,IF(D49=D50,D50,IF(E49=E50,E50,IF(F49=F50,F50))))</f>
        <v>HIGH FASHION</v>
      </c>
      <c r="B51" s="274" t="s">
        <v>45</v>
      </c>
      <c r="C51" s="292">
        <v>11</v>
      </c>
      <c r="D51" s="292">
        <v>12.5</v>
      </c>
      <c r="E51" s="292">
        <v>14</v>
      </c>
      <c r="F51" s="293">
        <v>16</v>
      </c>
      <c r="G51" s="273"/>
      <c r="H51" s="265" t="str">
        <f>Model!D10</f>
        <v>&lt;=500</v>
      </c>
      <c r="I51" s="274" t="s">
        <v>47</v>
      </c>
      <c r="J51" s="200"/>
      <c r="K51" s="200"/>
      <c r="L51" s="200"/>
      <c r="M51" s="201"/>
      <c r="N51" s="282"/>
    </row>
    <row r="52" spans="1:14" ht="13.2" x14ac:dyDescent="0.25">
      <c r="A52" s="265" t="str">
        <f>A26</f>
        <v>&lt;=500</v>
      </c>
      <c r="B52" s="274" t="s">
        <v>46</v>
      </c>
      <c r="C52" s="283">
        <v>56.000000000000007</v>
      </c>
      <c r="D52" s="283">
        <v>54</v>
      </c>
      <c r="E52" s="283">
        <v>52</v>
      </c>
      <c r="F52" s="284">
        <v>50</v>
      </c>
      <c r="G52" s="273"/>
      <c r="H52" s="265" t="str">
        <f>H51</f>
        <v>&lt;=500</v>
      </c>
      <c r="I52" s="274" t="s">
        <v>48</v>
      </c>
      <c r="J52" s="200"/>
      <c r="K52" s="200"/>
      <c r="L52" s="200"/>
      <c r="M52" s="201"/>
      <c r="N52" s="282"/>
    </row>
    <row r="53" spans="1:14" ht="13.2" x14ac:dyDescent="0.25">
      <c r="A53" s="265" t="str">
        <f>A52</f>
        <v>&lt;=500</v>
      </c>
      <c r="B53" s="274" t="s">
        <v>47</v>
      </c>
      <c r="C53" s="283">
        <v>56.999999999999993</v>
      </c>
      <c r="D53" s="283">
        <v>55.000000000000007</v>
      </c>
      <c r="E53" s="283">
        <v>53</v>
      </c>
      <c r="F53" s="284">
        <v>51</v>
      </c>
      <c r="G53" s="273"/>
      <c r="H53" s="265" t="str">
        <f t="shared" ref="H53:H59" si="6">H52</f>
        <v>&lt;=500</v>
      </c>
      <c r="I53" s="274" t="s">
        <v>49</v>
      </c>
      <c r="J53" s="200"/>
      <c r="K53" s="200"/>
      <c r="L53" s="200"/>
      <c r="M53" s="201"/>
      <c r="N53" s="282"/>
    </row>
    <row r="54" spans="1:14" ht="13.2" x14ac:dyDescent="0.25">
      <c r="A54" s="265" t="str">
        <f t="shared" ref="A54:A60" si="7">A53</f>
        <v>&lt;=500</v>
      </c>
      <c r="B54" s="274" t="s">
        <v>48</v>
      </c>
      <c r="C54" s="283">
        <v>57.999999999999993</v>
      </c>
      <c r="D54" s="283">
        <v>56.000000000000007</v>
      </c>
      <c r="E54" s="283">
        <v>54</v>
      </c>
      <c r="F54" s="284">
        <v>52</v>
      </c>
      <c r="G54" s="273"/>
      <c r="H54" s="265" t="str">
        <f t="shared" si="6"/>
        <v>&lt;=500</v>
      </c>
      <c r="I54" s="274" t="s">
        <v>50</v>
      </c>
      <c r="J54" s="200"/>
      <c r="K54" s="200"/>
      <c r="L54" s="200"/>
      <c r="M54" s="201"/>
      <c r="N54" s="282"/>
    </row>
    <row r="55" spans="1:14" ht="13.2" x14ac:dyDescent="0.25">
      <c r="A55" s="265" t="str">
        <f t="shared" si="7"/>
        <v>&lt;=500</v>
      </c>
      <c r="B55" s="274" t="s">
        <v>49</v>
      </c>
      <c r="C55" s="283">
        <v>60</v>
      </c>
      <c r="D55" s="283">
        <v>56.999999999999993</v>
      </c>
      <c r="E55" s="283">
        <v>55.000000000000007</v>
      </c>
      <c r="F55" s="284">
        <v>54</v>
      </c>
      <c r="G55" s="273"/>
      <c r="H55" s="265" t="str">
        <f t="shared" si="6"/>
        <v>&lt;=500</v>
      </c>
      <c r="I55" s="274" t="s">
        <v>39</v>
      </c>
      <c r="J55" s="200"/>
      <c r="K55" s="200"/>
      <c r="L55" s="200"/>
      <c r="M55" s="201"/>
      <c r="N55" s="282"/>
    </row>
    <row r="56" spans="1:14" ht="13.2" x14ac:dyDescent="0.25">
      <c r="A56" s="265" t="str">
        <f t="shared" si="7"/>
        <v>&lt;=500</v>
      </c>
      <c r="B56" s="274" t="s">
        <v>50</v>
      </c>
      <c r="C56" s="283">
        <v>62</v>
      </c>
      <c r="D56" s="283">
        <v>59</v>
      </c>
      <c r="E56" s="283">
        <v>56.999999999999993</v>
      </c>
      <c r="F56" s="284">
        <v>56.000000000000007</v>
      </c>
      <c r="G56" s="273"/>
      <c r="H56" s="265" t="str">
        <f t="shared" si="6"/>
        <v>&lt;=500</v>
      </c>
      <c r="I56" s="274" t="s">
        <v>51</v>
      </c>
      <c r="J56" s="200"/>
      <c r="K56" s="200"/>
      <c r="L56" s="200"/>
      <c r="M56" s="201"/>
      <c r="N56" s="282"/>
    </row>
    <row r="57" spans="1:14" ht="13.2" x14ac:dyDescent="0.25">
      <c r="A57" s="265" t="str">
        <f t="shared" si="7"/>
        <v>&lt;=500</v>
      </c>
      <c r="B57" s="274" t="s">
        <v>39</v>
      </c>
      <c r="C57" s="283">
        <v>64</v>
      </c>
      <c r="D57" s="283">
        <v>60</v>
      </c>
      <c r="E57" s="283">
        <v>57.999999999999993</v>
      </c>
      <c r="F57" s="284">
        <v>56.999999999999993</v>
      </c>
      <c r="G57" s="273"/>
      <c r="H57" s="265" t="str">
        <f t="shared" si="6"/>
        <v>&lt;=500</v>
      </c>
      <c r="I57" s="274" t="s">
        <v>52</v>
      </c>
      <c r="J57" s="200"/>
      <c r="K57" s="200"/>
      <c r="L57" s="200"/>
      <c r="M57" s="201"/>
      <c r="N57" s="282"/>
    </row>
    <row r="58" spans="1:14" ht="13.2" x14ac:dyDescent="0.25">
      <c r="A58" s="265" t="str">
        <f t="shared" si="7"/>
        <v>&lt;=500</v>
      </c>
      <c r="B58" s="274" t="s">
        <v>51</v>
      </c>
      <c r="C58" s="283">
        <v>67</v>
      </c>
      <c r="D58" s="283">
        <v>65</v>
      </c>
      <c r="E58" s="283">
        <v>61</v>
      </c>
      <c r="F58" s="284">
        <v>59</v>
      </c>
      <c r="G58" s="273"/>
      <c r="H58" s="265" t="str">
        <f t="shared" si="6"/>
        <v>&lt;=500</v>
      </c>
      <c r="I58" s="274" t="s">
        <v>53</v>
      </c>
      <c r="J58" s="200"/>
      <c r="K58" s="200"/>
      <c r="L58" s="200"/>
      <c r="M58" s="201"/>
      <c r="N58" s="282"/>
    </row>
    <row r="59" spans="1:14" ht="13.8" thickBot="1" x14ac:dyDescent="0.3">
      <c r="A59" s="265" t="str">
        <f t="shared" si="7"/>
        <v>&lt;=500</v>
      </c>
      <c r="B59" s="274" t="s">
        <v>52</v>
      </c>
      <c r="C59" s="283">
        <v>70</v>
      </c>
      <c r="D59" s="283">
        <v>67</v>
      </c>
      <c r="E59" s="283">
        <v>64</v>
      </c>
      <c r="F59" s="284">
        <v>60</v>
      </c>
      <c r="G59" s="273"/>
      <c r="H59" s="265" t="str">
        <f t="shared" si="6"/>
        <v>&lt;=500</v>
      </c>
      <c r="I59" s="285"/>
      <c r="J59" s="288"/>
      <c r="K59" s="288"/>
      <c r="L59" s="288"/>
      <c r="M59" s="289"/>
      <c r="N59" s="290"/>
    </row>
    <row r="60" spans="1:14" ht="14.4" thickBot="1" x14ac:dyDescent="0.3">
      <c r="A60" s="265" t="str">
        <f t="shared" si="7"/>
        <v>&lt;=500</v>
      </c>
      <c r="B60" s="274" t="s">
        <v>53</v>
      </c>
      <c r="C60" s="283">
        <v>75</v>
      </c>
      <c r="D60" s="283">
        <v>70</v>
      </c>
      <c r="E60" s="283">
        <v>65</v>
      </c>
      <c r="F60" s="284">
        <v>62</v>
      </c>
      <c r="G60" s="273"/>
      <c r="H60" s="265"/>
      <c r="I60" s="275" t="str">
        <f>H51</f>
        <v>&lt;=500</v>
      </c>
      <c r="J60" s="276" cm="1">
        <f t="array" ref="J60">SUM(IF($I$50:$I$58=$I60,IF($H50='Master Grid'!J$37,'Master Grid'!J$50:J$58)))</f>
        <v>0</v>
      </c>
      <c r="K60" s="276" cm="1">
        <f t="array" ref="K60">SUM(IF($I$50:$I$58=$I60,IF($H50='Master Grid'!K$37,'Master Grid'!K$50:K$58)))</f>
        <v>0</v>
      </c>
      <c r="L60" s="276" cm="1">
        <f t="array" ref="L60">SUM(IF($I$50:$I$58=$I60,IF($H50='Master Grid'!L$37,'Master Grid'!L$50:L$58)))</f>
        <v>0</v>
      </c>
      <c r="M60" s="276" cm="1">
        <f t="array" ref="M60">SUM(IF($I$50:$I$58=$I60,IF($H50='Master Grid'!M$37,'Master Grid'!M$50:M$58)))</f>
        <v>0</v>
      </c>
      <c r="N60" s="197"/>
    </row>
    <row r="61" spans="1:14" ht="13.8" thickBot="1" x14ac:dyDescent="0.3">
      <c r="A61" s="265"/>
      <c r="B61" s="285"/>
      <c r="C61" s="294"/>
      <c r="D61" s="294"/>
      <c r="E61" s="294"/>
      <c r="F61" s="295"/>
      <c r="G61" s="296"/>
    </row>
    <row r="62" spans="1:14" ht="13.8" thickBot="1" x14ac:dyDescent="0.3">
      <c r="A62" s="265"/>
      <c r="B62" s="265"/>
      <c r="C62" s="265"/>
      <c r="D62" s="265"/>
      <c r="E62" s="265"/>
      <c r="F62" s="265"/>
      <c r="G62" s="265"/>
      <c r="H62" s="265"/>
      <c r="I62" s="266" t="s">
        <v>82</v>
      </c>
      <c r="J62" s="267" t="s">
        <v>22</v>
      </c>
      <c r="K62" s="267" t="s">
        <v>55</v>
      </c>
      <c r="L62" s="267" t="s">
        <v>60</v>
      </c>
      <c r="M62" s="268" t="s">
        <v>56</v>
      </c>
      <c r="N62" s="277"/>
    </row>
    <row r="63" spans="1:14" ht="14.4" thickBot="1" x14ac:dyDescent="0.3">
      <c r="A63" s="297"/>
      <c r="B63" s="298" t="s">
        <v>57</v>
      </c>
      <c r="C63" s="299" t="s">
        <v>59</v>
      </c>
      <c r="D63" s="299" t="s">
        <v>6</v>
      </c>
      <c r="E63" s="299" t="s">
        <v>9</v>
      </c>
      <c r="F63" s="298"/>
      <c r="G63" s="300"/>
      <c r="H63" s="265" t="str">
        <f>H50</f>
        <v>FASHION</v>
      </c>
      <c r="I63" s="274" t="s">
        <v>46</v>
      </c>
      <c r="J63" s="16">
        <v>0.1</v>
      </c>
      <c r="K63" s="16">
        <v>0.1</v>
      </c>
      <c r="L63" s="16">
        <v>0.1</v>
      </c>
      <c r="M63" s="16">
        <v>0.1</v>
      </c>
      <c r="N63" s="282"/>
    </row>
    <row r="64" spans="1:14" ht="13.8" x14ac:dyDescent="0.25">
      <c r="A64" s="301"/>
      <c r="B64" s="302" t="s">
        <v>58</v>
      </c>
      <c r="C64" s="202">
        <v>0.75</v>
      </c>
      <c r="D64" s="202">
        <v>0.65</v>
      </c>
      <c r="E64" s="202">
        <v>0.65</v>
      </c>
      <c r="F64" s="302"/>
      <c r="G64" s="303"/>
      <c r="H64" s="265" t="str">
        <f>Model!D10</f>
        <v>&lt;=500</v>
      </c>
      <c r="I64" s="274" t="s">
        <v>47</v>
      </c>
      <c r="J64" s="16">
        <v>0.1</v>
      </c>
      <c r="K64" s="16">
        <v>0.1</v>
      </c>
      <c r="L64" s="16">
        <v>0.1</v>
      </c>
      <c r="M64" s="16">
        <v>0.1</v>
      </c>
      <c r="N64" s="282"/>
    </row>
    <row r="65" spans="1:17" ht="13.8" x14ac:dyDescent="0.25">
      <c r="A65" s="301"/>
      <c r="B65" s="304" t="s">
        <v>83</v>
      </c>
      <c r="C65" s="203"/>
      <c r="D65" s="203"/>
      <c r="E65" s="203"/>
      <c r="F65" s="203"/>
      <c r="G65" s="305"/>
      <c r="H65" s="265" t="str">
        <f>H64</f>
        <v>&lt;=500</v>
      </c>
      <c r="I65" s="274" t="s">
        <v>48</v>
      </c>
      <c r="J65" s="16">
        <v>0.1</v>
      </c>
      <c r="K65" s="16">
        <v>0.1</v>
      </c>
      <c r="L65" s="16">
        <v>0.1</v>
      </c>
      <c r="M65" s="16">
        <v>0.1</v>
      </c>
      <c r="N65" s="282"/>
      <c r="P65" s="204"/>
      <c r="Q65" s="205"/>
    </row>
    <row r="66" spans="1:17" ht="13.8" x14ac:dyDescent="0.25">
      <c r="A66" s="301"/>
      <c r="B66" s="304"/>
      <c r="C66" s="306" t="s">
        <v>22</v>
      </c>
      <c r="D66" s="306" t="s">
        <v>55</v>
      </c>
      <c r="E66" s="306" t="s">
        <v>60</v>
      </c>
      <c r="F66" s="306" t="s">
        <v>56</v>
      </c>
      <c r="G66" s="307" t="s">
        <v>84</v>
      </c>
      <c r="H66" s="265" t="str">
        <f t="shared" ref="H66:H72" si="8">H65</f>
        <v>&lt;=500</v>
      </c>
      <c r="I66" s="274" t="s">
        <v>49</v>
      </c>
      <c r="J66" s="16">
        <v>0.1</v>
      </c>
      <c r="K66" s="16">
        <v>0.1</v>
      </c>
      <c r="L66" s="16">
        <v>0.1</v>
      </c>
      <c r="M66" s="16">
        <v>0.1</v>
      </c>
      <c r="N66" s="282"/>
      <c r="P66" s="204"/>
      <c r="Q66" s="205"/>
    </row>
    <row r="67" spans="1:17" ht="13.8" x14ac:dyDescent="0.25">
      <c r="A67" s="301" t="s">
        <v>44</v>
      </c>
      <c r="B67" s="308" t="str">
        <f>A26</f>
        <v>&lt;=500</v>
      </c>
      <c r="C67" s="206">
        <f t="array" ref="C67">SUM(IF($B$26:$B$34=$B67,IF($A$25=C$66,C$26:C$34)))/100</f>
        <v>0</v>
      </c>
      <c r="D67" s="206" cm="1">
        <f t="array" ref="D67">SUM(IF($B$26:$B$34=$B67,IF($A$25=D$66,D$26:D$34)))/100</f>
        <v>0</v>
      </c>
      <c r="E67" s="206">
        <f t="array" ref="E67">SUM(IF($B$26:$B$34=$B67,IF($A$25=E$66,E$26:E$34)))/100</f>
        <v>0.47</v>
      </c>
      <c r="F67" s="206">
        <f t="array" ref="F67">SUM(IF($B$26:$B$34=$B67,IF($A$25=F$66,F$26:F$34)))/100</f>
        <v>0</v>
      </c>
      <c r="G67" s="207">
        <f>SUM(C67:F67)</f>
        <v>0.47</v>
      </c>
      <c r="H67" s="265" t="str">
        <f t="shared" si="8"/>
        <v>&lt;=500</v>
      </c>
      <c r="I67" s="274" t="s">
        <v>50</v>
      </c>
      <c r="J67" s="16">
        <v>0.1</v>
      </c>
      <c r="K67" s="16">
        <v>0.1</v>
      </c>
      <c r="L67" s="16">
        <v>0.1</v>
      </c>
      <c r="M67" s="16">
        <v>0.1</v>
      </c>
      <c r="N67" s="282"/>
      <c r="P67" s="204"/>
      <c r="Q67" s="205"/>
    </row>
    <row r="68" spans="1:17" ht="13.8" x14ac:dyDescent="0.25">
      <c r="A68" s="301" t="s">
        <v>6</v>
      </c>
      <c r="B68" s="308" t="str">
        <f>B67</f>
        <v>&lt;=500</v>
      </c>
      <c r="C68" s="206">
        <f t="array" ref="C68">SUM(IF($B$26:$B$34=$B68,IF($A$38=C$66,C$39:C$47)))/100</f>
        <v>0</v>
      </c>
      <c r="D68" s="206">
        <f t="array" ref="D68">SUM(IF($B$26:$B$34=$B68,IF($A$38=D$66,D$39:D$47)))/100</f>
        <v>0</v>
      </c>
      <c r="E68" s="206">
        <f t="array" ref="E68">SUM(IF($B$26:$B$34=$B68,IF($A$38=E$66,E$39:E$47)))/100</f>
        <v>0</v>
      </c>
      <c r="F68" s="206">
        <f t="array" ref="F68">SUM(IF($B$26:$B$34=$B68,IF($A$38=F$66,F$39:F$47)))/100</f>
        <v>0.48</v>
      </c>
      <c r="G68" s="207">
        <f t="shared" ref="G68:G69" si="9">SUM(C68:F68)</f>
        <v>0.48</v>
      </c>
      <c r="H68" s="265" t="str">
        <f t="shared" si="8"/>
        <v>&lt;=500</v>
      </c>
      <c r="I68" s="274" t="s">
        <v>39</v>
      </c>
      <c r="J68" s="16">
        <v>0.1</v>
      </c>
      <c r="K68" s="16">
        <v>0.1</v>
      </c>
      <c r="L68" s="16">
        <v>0.1</v>
      </c>
      <c r="M68" s="16">
        <v>0.1</v>
      </c>
      <c r="N68" s="282"/>
    </row>
    <row r="69" spans="1:17" ht="13.8" x14ac:dyDescent="0.25">
      <c r="A69" s="301" t="s">
        <v>9</v>
      </c>
      <c r="B69" s="308" t="str">
        <f>B68</f>
        <v>&lt;=500</v>
      </c>
      <c r="C69" s="206">
        <f t="array" ref="C69">SUM(IF($B$26:$B$34=$B69,IF($A$51=C$66,C$52:C$60)))/100</f>
        <v>0</v>
      </c>
      <c r="D69" s="206">
        <f t="array" ref="D69">SUM(IF($B$26:$B$34=$B69,IF($A$51=D$66,D$52:D$60)))/100</f>
        <v>0</v>
      </c>
      <c r="E69" s="206">
        <f t="array" ref="E69">SUM(IF($B$26:$B$34=$B69,IF($A$51=E$66,E$52:E$60)))/100</f>
        <v>0</v>
      </c>
      <c r="F69" s="206">
        <f t="array" ref="F69">SUM(IF($B$26:$B$34=$B69,IF($A$51=F$66,F$52:F$60)))/100</f>
        <v>0.5</v>
      </c>
      <c r="G69" s="207">
        <f t="shared" si="9"/>
        <v>0.5</v>
      </c>
      <c r="H69" s="265" t="str">
        <f t="shared" si="8"/>
        <v>&lt;=500</v>
      </c>
      <c r="I69" s="274" t="s">
        <v>51</v>
      </c>
      <c r="J69" s="16">
        <v>0.1</v>
      </c>
      <c r="K69" s="16">
        <v>0.1</v>
      </c>
      <c r="L69" s="16">
        <v>0.1</v>
      </c>
      <c r="M69" s="16">
        <v>0.1</v>
      </c>
      <c r="N69" s="282"/>
    </row>
    <row r="70" spans="1:17" ht="13.8" x14ac:dyDescent="0.25">
      <c r="A70" s="301"/>
      <c r="B70" s="308"/>
      <c r="C70" s="308"/>
      <c r="D70" s="308"/>
      <c r="E70" s="308"/>
      <c r="F70" s="308"/>
      <c r="G70" s="305"/>
      <c r="H70" s="265" t="str">
        <f t="shared" si="8"/>
        <v>&lt;=500</v>
      </c>
      <c r="I70" s="274" t="s">
        <v>52</v>
      </c>
      <c r="J70" s="16">
        <v>0.1</v>
      </c>
      <c r="K70" s="16">
        <v>0.1</v>
      </c>
      <c r="L70" s="16">
        <v>0.1</v>
      </c>
      <c r="M70" s="16">
        <v>0.1</v>
      </c>
      <c r="N70" s="282"/>
    </row>
    <row r="71" spans="1:17" ht="13.8" x14ac:dyDescent="0.25">
      <c r="A71" s="301"/>
      <c r="B71" s="308"/>
      <c r="C71" s="308"/>
      <c r="D71" s="308"/>
      <c r="E71" s="308"/>
      <c r="F71" s="308"/>
      <c r="G71" s="305"/>
      <c r="H71" s="265" t="str">
        <f t="shared" si="8"/>
        <v>&lt;=500</v>
      </c>
      <c r="I71" s="274" t="s">
        <v>53</v>
      </c>
      <c r="J71" s="16">
        <v>0.1</v>
      </c>
      <c r="K71" s="16">
        <v>0.1</v>
      </c>
      <c r="L71" s="16">
        <v>0.1</v>
      </c>
      <c r="M71" s="16">
        <v>0.1</v>
      </c>
      <c r="N71" s="282"/>
    </row>
    <row r="72" spans="1:17" ht="13.8" thickBot="1" x14ac:dyDescent="0.3">
      <c r="A72" s="301"/>
      <c r="B72" s="304" t="s">
        <v>85</v>
      </c>
      <c r="C72" s="309">
        <f>IF(G67&gt;75%,C65,((1+(C64-G67))*C65))</f>
        <v>0</v>
      </c>
      <c r="D72" s="309">
        <f>IF(G68&gt;65%,D65,((1+(D64-G68))*D65))</f>
        <v>0</v>
      </c>
      <c r="E72" s="309">
        <f>IF(G69&gt;65%,E65,((1+(E64-G69))*E65))</f>
        <v>0</v>
      </c>
      <c r="F72" s="304"/>
      <c r="G72" s="310">
        <f>SUM(C72:F72)</f>
        <v>0</v>
      </c>
      <c r="H72" s="265" t="str">
        <f t="shared" si="8"/>
        <v>&lt;=500</v>
      </c>
      <c r="I72" s="285"/>
      <c r="J72" s="288"/>
      <c r="K72" s="288"/>
      <c r="L72" s="288"/>
      <c r="M72" s="289"/>
      <c r="N72" s="290"/>
    </row>
    <row r="73" spans="1:17" ht="14.4" thickBot="1" x14ac:dyDescent="0.3">
      <c r="A73" s="311"/>
      <c r="B73" s="312"/>
      <c r="C73" s="208">
        <f>C72*25</f>
        <v>0</v>
      </c>
      <c r="D73" s="208">
        <f>D72*6</f>
        <v>0</v>
      </c>
      <c r="E73" s="208">
        <f>E72*11.5</f>
        <v>0</v>
      </c>
      <c r="F73" s="312"/>
      <c r="G73" s="313"/>
      <c r="H73" s="265"/>
      <c r="I73" s="275" t="str">
        <f>H64</f>
        <v>&lt;=500</v>
      </c>
      <c r="J73" s="276" cm="1">
        <f t="array" ref="J73">SUM(IF($I$63:$I$71=$I73,IF($H63='Master Grid'!J$37,'Master Grid'!J$63:J$71)))</f>
        <v>0</v>
      </c>
      <c r="K73" s="276" cm="1">
        <f t="array" ref="K73">SUM(IF($I$63:$I$71=$I73,IF($H63='Master Grid'!K$37,'Master Grid'!K$63:K$71)))</f>
        <v>0</v>
      </c>
      <c r="L73" s="276" cm="1">
        <f t="array" ref="L73">SUM(IF($I$63:$I$71=$I73,IF($H63='Master Grid'!L$37,'Master Grid'!L$63:L$71)))</f>
        <v>0.1</v>
      </c>
      <c r="M73" s="276" cm="1">
        <f t="array" ref="M73">SUM(IF($I$63:$I$71=$I73,IF($H63='Master Grid'!M$37,'Master Grid'!M$63:M$71)))</f>
        <v>0</v>
      </c>
      <c r="N73" s="197"/>
    </row>
    <row r="74" spans="1:17" ht="13.8" thickBot="1" x14ac:dyDescent="0.3">
      <c r="A74" s="265"/>
      <c r="B74" s="265"/>
      <c r="C74" s="209"/>
      <c r="D74" s="209"/>
      <c r="E74" s="209"/>
      <c r="F74" s="265"/>
      <c r="G74" s="265"/>
      <c r="H74" s="265"/>
      <c r="I74" s="265"/>
      <c r="J74" s="265"/>
      <c r="K74" s="265"/>
      <c r="L74" s="265"/>
      <c r="M74" s="265"/>
      <c r="N74" s="265"/>
    </row>
    <row r="75" spans="1:17" ht="14.4" thickBot="1" x14ac:dyDescent="0.3">
      <c r="A75" s="265"/>
      <c r="B75" s="265"/>
      <c r="C75" s="265"/>
      <c r="D75" s="265"/>
      <c r="E75" s="265"/>
      <c r="F75" s="265"/>
      <c r="G75" s="265"/>
      <c r="I75" s="275" t="s">
        <v>79</v>
      </c>
      <c r="J75" s="210"/>
      <c r="K75" s="210"/>
      <c r="L75" s="210"/>
      <c r="M75" s="210"/>
      <c r="N75" s="314">
        <f>'Reject Grid'!M32</f>
        <v>1</v>
      </c>
    </row>
    <row r="76" spans="1:17" ht="13.2" x14ac:dyDescent="0.25">
      <c r="A76" s="265"/>
      <c r="B76" s="265"/>
      <c r="C76" s="265"/>
      <c r="D76" s="265"/>
      <c r="E76" s="265"/>
      <c r="F76" s="265"/>
      <c r="G76" s="265"/>
    </row>
    <row r="77" spans="1:17" ht="13.8" x14ac:dyDescent="0.25">
      <c r="A77" s="265"/>
      <c r="B77" s="265"/>
      <c r="C77" s="265"/>
      <c r="D77" s="265"/>
      <c r="E77" s="265"/>
      <c r="F77" s="265"/>
      <c r="G77" s="265"/>
      <c r="I77" s="315" t="s">
        <v>86</v>
      </c>
      <c r="J77" s="316">
        <f>J73+J60+J48+J34+J23+J12+J75</f>
        <v>0</v>
      </c>
      <c r="K77" s="316">
        <f>K73+K60+K48+K34+K23+K12+K75</f>
        <v>0</v>
      </c>
      <c r="L77" s="316">
        <f>L73+L60+L48+L34+L23+L12+L75</f>
        <v>1.6</v>
      </c>
      <c r="M77" s="316">
        <f>M73+M60+M48+M34+M23+M12+M75</f>
        <v>1.55</v>
      </c>
      <c r="N77" s="316">
        <f>IF(Model!$D$6="Mustang",7,SUM(J77:M77)+N75)</f>
        <v>4.1500000000000004</v>
      </c>
    </row>
    <row r="78" spans="1:17" x14ac:dyDescent="0.2">
      <c r="N78" s="211"/>
    </row>
    <row r="79" spans="1:17" x14ac:dyDescent="0.2">
      <c r="N79" s="20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99DB-5B30-46FB-8360-2B34E6A78BB0}">
  <dimension ref="B3:AP79"/>
  <sheetViews>
    <sheetView workbookViewId="0"/>
  </sheetViews>
  <sheetFormatPr defaultRowHeight="13.2" x14ac:dyDescent="0.25"/>
  <cols>
    <col min="1" max="1" width="2.77734375" customWidth="1"/>
    <col min="2" max="2" width="14" bestFit="1" customWidth="1"/>
    <col min="3" max="3" width="8" bestFit="1" customWidth="1"/>
    <col min="4" max="4" width="2.77734375" customWidth="1"/>
    <col min="5" max="5" width="11.109375" customWidth="1"/>
    <col min="6" max="9" width="10.77734375" customWidth="1"/>
    <col min="10" max="10" width="2.77734375" customWidth="1"/>
    <col min="11" max="11" width="12.5546875" customWidth="1"/>
    <col min="12" max="12" width="11.88671875" customWidth="1"/>
    <col min="13" max="14" width="12" customWidth="1"/>
    <col min="15" max="15" width="12.33203125" customWidth="1"/>
    <col min="16" max="16" width="2.77734375" customWidth="1"/>
    <col min="17" max="17" width="15.77734375" customWidth="1"/>
    <col min="18" max="18" width="16.44140625" customWidth="1"/>
    <col min="19" max="19" width="2.77734375" customWidth="1"/>
    <col min="20" max="20" width="18.88671875" customWidth="1"/>
    <col min="21" max="21" width="11.88671875" customWidth="1"/>
    <col min="22" max="22" width="2.77734375" customWidth="1"/>
    <col min="23" max="23" width="16.88671875" customWidth="1"/>
    <col min="24" max="24" width="13.6640625" customWidth="1"/>
    <col min="25" max="25" width="2.77734375" customWidth="1"/>
    <col min="26" max="26" width="17.44140625" customWidth="1"/>
    <col min="27" max="27" width="13.6640625" customWidth="1"/>
    <col min="28" max="28" width="2.77734375" customWidth="1"/>
    <col min="29" max="29" width="21.44140625" customWidth="1"/>
    <col min="30" max="30" width="13.44140625" customWidth="1"/>
    <col min="31" max="31" width="2.77734375" customWidth="1"/>
    <col min="32" max="32" width="17" bestFit="1" customWidth="1"/>
    <col min="33" max="33" width="2.77734375" customWidth="1"/>
    <col min="34" max="34" width="16.6640625" bestFit="1" customWidth="1"/>
    <col min="35" max="35" width="2.77734375" customWidth="1"/>
    <col min="36" max="36" width="11.88671875" bestFit="1" customWidth="1"/>
    <col min="37" max="37" width="2.77734375" customWidth="1"/>
    <col min="38" max="38" width="17.77734375" bestFit="1" customWidth="1"/>
    <col min="39" max="39" width="2.77734375" customWidth="1"/>
    <col min="40" max="40" width="12.88671875" bestFit="1" customWidth="1"/>
    <col min="41" max="41" width="2.77734375" customWidth="1"/>
    <col min="42" max="42" width="14" bestFit="1" customWidth="1"/>
    <col min="43" max="43" width="8" bestFit="1" customWidth="1"/>
  </cols>
  <sheetData>
    <row r="3" spans="2:42" ht="13.8" thickBot="1" x14ac:dyDescent="0.3">
      <c r="E3" s="427" t="s">
        <v>313</v>
      </c>
      <c r="K3" s="427" t="s">
        <v>314</v>
      </c>
      <c r="Q3" s="427" t="s">
        <v>315</v>
      </c>
      <c r="T3" s="427" t="s">
        <v>318</v>
      </c>
      <c r="W3" s="427" t="s">
        <v>319</v>
      </c>
      <c r="Z3" s="427" t="s">
        <v>308</v>
      </c>
      <c r="AC3" s="427" t="s">
        <v>324</v>
      </c>
      <c r="AH3" s="427"/>
      <c r="AJ3" s="427"/>
      <c r="AL3" s="427"/>
      <c r="AN3" s="427"/>
      <c r="AP3" s="427"/>
    </row>
    <row r="4" spans="2:42" ht="24" customHeight="1" x14ac:dyDescent="0.25">
      <c r="B4" s="432" t="s">
        <v>326</v>
      </c>
      <c r="C4" s="432" t="s">
        <v>331</v>
      </c>
      <c r="E4" s="266" t="s">
        <v>44</v>
      </c>
      <c r="F4" s="267" t="s">
        <v>22</v>
      </c>
      <c r="G4" s="267" t="s">
        <v>55</v>
      </c>
      <c r="H4" s="267" t="s">
        <v>60</v>
      </c>
      <c r="I4" s="268" t="s">
        <v>56</v>
      </c>
      <c r="K4" s="266" t="s">
        <v>1</v>
      </c>
      <c r="L4" s="267" t="s">
        <v>22</v>
      </c>
      <c r="M4" s="267" t="s">
        <v>55</v>
      </c>
      <c r="N4" s="267" t="s">
        <v>60</v>
      </c>
      <c r="O4" s="268" t="s">
        <v>56</v>
      </c>
      <c r="P4" s="264"/>
      <c r="Q4" s="432" t="s">
        <v>23</v>
      </c>
      <c r="R4" s="432" t="s">
        <v>204</v>
      </c>
      <c r="T4" s="431" t="s">
        <v>320</v>
      </c>
      <c r="U4" s="431" t="s">
        <v>325</v>
      </c>
      <c r="W4" s="431" t="s">
        <v>320</v>
      </c>
      <c r="X4" s="431" t="s">
        <v>321</v>
      </c>
      <c r="Z4" s="431" t="s">
        <v>320</v>
      </c>
      <c r="AA4" s="431" t="s">
        <v>321</v>
      </c>
      <c r="AC4" s="431" t="s">
        <v>320</v>
      </c>
      <c r="AD4" s="431" t="s">
        <v>325</v>
      </c>
      <c r="AF4" s="432" t="s">
        <v>342</v>
      </c>
      <c r="AH4" s="432" t="s">
        <v>339</v>
      </c>
      <c r="AJ4" s="432" t="s">
        <v>336</v>
      </c>
      <c r="AL4" s="432" t="s">
        <v>334</v>
      </c>
      <c r="AN4" s="432" t="s">
        <v>332</v>
      </c>
    </row>
    <row r="5" spans="2:42" ht="13.8" x14ac:dyDescent="0.25">
      <c r="B5" s="428" t="s">
        <v>22</v>
      </c>
      <c r="C5" s="428" t="s">
        <v>327</v>
      </c>
      <c r="E5" s="278" t="s">
        <v>45</v>
      </c>
      <c r="F5" s="279">
        <v>18</v>
      </c>
      <c r="G5" s="279">
        <v>23</v>
      </c>
      <c r="H5" s="279">
        <v>36</v>
      </c>
      <c r="I5" s="280">
        <v>61</v>
      </c>
      <c r="K5" s="274" t="s">
        <v>46</v>
      </c>
      <c r="L5" s="16">
        <v>0.6</v>
      </c>
      <c r="M5" s="16">
        <v>0.65</v>
      </c>
      <c r="N5" s="16">
        <v>0.7</v>
      </c>
      <c r="O5" s="16">
        <v>0.75</v>
      </c>
      <c r="P5" s="264"/>
      <c r="Q5" s="430"/>
      <c r="R5" s="430"/>
      <c r="T5" s="429" t="s">
        <v>316</v>
      </c>
      <c r="U5" s="429"/>
      <c r="W5" s="428" t="s">
        <v>291</v>
      </c>
      <c r="X5" s="429"/>
      <c r="Z5" s="428" t="s">
        <v>34</v>
      </c>
      <c r="AA5" s="429"/>
      <c r="AC5" s="428" t="s">
        <v>309</v>
      </c>
      <c r="AD5" s="429"/>
      <c r="AF5" s="428" t="s">
        <v>173</v>
      </c>
      <c r="AH5" s="428" t="s">
        <v>252</v>
      </c>
      <c r="AJ5" s="428" t="s">
        <v>74</v>
      </c>
      <c r="AL5" s="428" t="s">
        <v>189</v>
      </c>
      <c r="AN5" s="428" t="s">
        <v>185</v>
      </c>
    </row>
    <row r="6" spans="2:42" ht="13.8" x14ac:dyDescent="0.25">
      <c r="B6" s="428" t="s">
        <v>55</v>
      </c>
      <c r="C6" s="428" t="s">
        <v>328</v>
      </c>
      <c r="E6" s="274" t="s">
        <v>46</v>
      </c>
      <c r="F6" s="283">
        <v>54</v>
      </c>
      <c r="G6" s="283">
        <v>50</v>
      </c>
      <c r="H6" s="283">
        <v>47</v>
      </c>
      <c r="I6" s="284">
        <v>45</v>
      </c>
      <c r="K6" s="274" t="s">
        <v>47</v>
      </c>
      <c r="L6" s="16">
        <v>0.5</v>
      </c>
      <c r="M6" s="16">
        <v>0.5</v>
      </c>
      <c r="N6" s="16">
        <v>0.5</v>
      </c>
      <c r="O6" s="16">
        <v>0.5</v>
      </c>
      <c r="P6" s="264"/>
      <c r="Q6" s="430"/>
      <c r="R6" s="430"/>
      <c r="T6" s="429" t="s">
        <v>317</v>
      </c>
      <c r="U6" s="429"/>
      <c r="W6" s="428" t="s">
        <v>89</v>
      </c>
      <c r="X6" s="429"/>
      <c r="Z6" s="428" t="s">
        <v>268</v>
      </c>
      <c r="AA6" s="429"/>
      <c r="AC6" s="428" t="s">
        <v>310</v>
      </c>
      <c r="AD6" s="429"/>
      <c r="AF6" s="428" t="s">
        <v>198</v>
      </c>
      <c r="AH6" s="428" t="s">
        <v>340</v>
      </c>
      <c r="AJ6" s="428" t="s">
        <v>337</v>
      </c>
      <c r="AL6" s="428" t="s">
        <v>335</v>
      </c>
      <c r="AN6" s="428" t="s">
        <v>333</v>
      </c>
    </row>
    <row r="7" spans="2:42" ht="13.8" x14ac:dyDescent="0.25">
      <c r="B7" s="428" t="s">
        <v>60</v>
      </c>
      <c r="C7" s="428" t="s">
        <v>329</v>
      </c>
      <c r="E7" s="274" t="s">
        <v>47</v>
      </c>
      <c r="F7" s="283">
        <v>56.000000000000007</v>
      </c>
      <c r="G7" s="283">
        <v>52</v>
      </c>
      <c r="H7" s="283">
        <v>48</v>
      </c>
      <c r="I7" s="284">
        <v>46</v>
      </c>
      <c r="K7" s="274" t="s">
        <v>48</v>
      </c>
      <c r="L7" s="16">
        <v>0.5</v>
      </c>
      <c r="M7" s="16">
        <v>0.5</v>
      </c>
      <c r="N7" s="16">
        <v>0.5</v>
      </c>
      <c r="O7" s="16">
        <v>0.5</v>
      </c>
      <c r="P7" s="264"/>
      <c r="Q7" s="430"/>
      <c r="R7" s="430"/>
      <c r="T7" s="429" t="s">
        <v>307</v>
      </c>
      <c r="U7" s="429"/>
      <c r="W7" s="428" t="s">
        <v>322</v>
      </c>
      <c r="X7" s="429"/>
      <c r="Z7" s="428" t="s">
        <v>323</v>
      </c>
      <c r="AA7" s="429"/>
      <c r="AF7" s="428" t="s">
        <v>343</v>
      </c>
      <c r="AH7" s="428" t="s">
        <v>341</v>
      </c>
      <c r="AJ7" s="428" t="s">
        <v>72</v>
      </c>
      <c r="AL7" s="428" t="s">
        <v>192</v>
      </c>
    </row>
    <row r="8" spans="2:42" ht="13.8" x14ac:dyDescent="0.25">
      <c r="B8" s="428" t="s">
        <v>56</v>
      </c>
      <c r="C8" s="428" t="s">
        <v>330</v>
      </c>
      <c r="E8" s="274" t="s">
        <v>48</v>
      </c>
      <c r="F8" s="283">
        <v>57.999999999999993</v>
      </c>
      <c r="G8" s="283">
        <v>53</v>
      </c>
      <c r="H8" s="283">
        <v>50</v>
      </c>
      <c r="I8" s="284">
        <v>48</v>
      </c>
      <c r="K8" s="274" t="s">
        <v>49</v>
      </c>
      <c r="L8" s="16">
        <v>0.5</v>
      </c>
      <c r="M8" s="16">
        <v>0.5</v>
      </c>
      <c r="N8" s="16">
        <v>0.5</v>
      </c>
      <c r="O8" s="16">
        <v>0.5</v>
      </c>
      <c r="P8" s="264"/>
      <c r="Q8" s="430"/>
      <c r="R8" s="430"/>
      <c r="T8" s="429" t="s">
        <v>311</v>
      </c>
      <c r="U8" s="429"/>
      <c r="W8" s="428" t="s">
        <v>265</v>
      </c>
      <c r="X8" s="429"/>
      <c r="AF8" s="428" t="s">
        <v>338</v>
      </c>
      <c r="AH8" s="428" t="s">
        <v>338</v>
      </c>
      <c r="AJ8" s="428" t="s">
        <v>338</v>
      </c>
      <c r="AL8" s="428" t="s">
        <v>344</v>
      </c>
    </row>
    <row r="9" spans="2:42" ht="13.8" x14ac:dyDescent="0.25">
      <c r="E9" s="274" t="s">
        <v>49</v>
      </c>
      <c r="F9" s="283">
        <v>60</v>
      </c>
      <c r="G9" s="283">
        <v>55.000000000000007</v>
      </c>
      <c r="H9" s="283">
        <v>52</v>
      </c>
      <c r="I9" s="284">
        <v>50</v>
      </c>
      <c r="K9" s="274" t="s">
        <v>50</v>
      </c>
      <c r="L9" s="16">
        <v>0.5</v>
      </c>
      <c r="M9" s="16">
        <v>0.5</v>
      </c>
      <c r="N9" s="16">
        <v>0.5</v>
      </c>
      <c r="O9" s="16">
        <v>0.5</v>
      </c>
      <c r="P9" s="264"/>
      <c r="Q9" s="430"/>
      <c r="R9" s="430"/>
      <c r="T9" s="429" t="s">
        <v>312</v>
      </c>
      <c r="U9" s="429"/>
      <c r="W9" s="428"/>
      <c r="X9" s="429"/>
    </row>
    <row r="10" spans="2:42" ht="13.8" x14ac:dyDescent="0.25">
      <c r="E10" s="274" t="s">
        <v>50</v>
      </c>
      <c r="F10" s="283">
        <v>62</v>
      </c>
      <c r="G10" s="283">
        <v>56.999999999999993</v>
      </c>
      <c r="H10" s="283">
        <v>54</v>
      </c>
      <c r="I10" s="284">
        <v>52</v>
      </c>
      <c r="K10" s="274" t="s">
        <v>39</v>
      </c>
      <c r="L10" s="16">
        <v>0.5</v>
      </c>
      <c r="M10" s="16">
        <v>0.5</v>
      </c>
      <c r="N10" s="16">
        <v>0.5</v>
      </c>
      <c r="O10" s="16">
        <v>0.5</v>
      </c>
      <c r="P10" s="264"/>
    </row>
    <row r="11" spans="2:42" ht="13.8" x14ac:dyDescent="0.25">
      <c r="E11" s="274" t="s">
        <v>39</v>
      </c>
      <c r="F11" s="283">
        <v>65</v>
      </c>
      <c r="G11" s="283">
        <v>59</v>
      </c>
      <c r="H11" s="283">
        <v>56.000000000000007</v>
      </c>
      <c r="I11" s="284">
        <v>54</v>
      </c>
      <c r="K11" s="274" t="s">
        <v>51</v>
      </c>
      <c r="L11" s="16">
        <v>0.4</v>
      </c>
      <c r="M11" s="16">
        <v>0.4</v>
      </c>
      <c r="N11" s="16">
        <v>0.4</v>
      </c>
      <c r="O11" s="16">
        <v>0.4</v>
      </c>
      <c r="P11" s="264"/>
    </row>
    <row r="12" spans="2:42" ht="13.8" x14ac:dyDescent="0.25">
      <c r="E12" s="274" t="s">
        <v>51</v>
      </c>
      <c r="F12" s="283">
        <v>68</v>
      </c>
      <c r="G12" s="283">
        <v>62</v>
      </c>
      <c r="H12" s="283">
        <v>57.999999999999993</v>
      </c>
      <c r="I12" s="284">
        <v>56.000000000000007</v>
      </c>
      <c r="K12" s="274" t="s">
        <v>52</v>
      </c>
      <c r="L12" s="16">
        <v>0.4</v>
      </c>
      <c r="M12" s="16">
        <v>0.4</v>
      </c>
      <c r="N12" s="16">
        <v>0.4</v>
      </c>
      <c r="O12" s="16">
        <v>0.4</v>
      </c>
      <c r="P12" s="264"/>
    </row>
    <row r="13" spans="2:42" ht="14.4" thickBot="1" x14ac:dyDescent="0.3">
      <c r="E13" s="274" t="s">
        <v>52</v>
      </c>
      <c r="F13" s="283">
        <v>72</v>
      </c>
      <c r="G13" s="283">
        <v>65</v>
      </c>
      <c r="H13" s="283">
        <v>60</v>
      </c>
      <c r="I13" s="284">
        <v>57.999999999999993</v>
      </c>
      <c r="K13" s="274" t="s">
        <v>53</v>
      </c>
      <c r="L13" s="16">
        <v>0.4</v>
      </c>
      <c r="M13" s="16">
        <v>0.4</v>
      </c>
      <c r="N13" s="16">
        <v>0.4</v>
      </c>
      <c r="O13" s="16">
        <v>0.4</v>
      </c>
      <c r="P13" s="264"/>
    </row>
    <row r="14" spans="2:42" ht="14.4" thickBot="1" x14ac:dyDescent="0.3">
      <c r="E14" s="274" t="s">
        <v>53</v>
      </c>
      <c r="F14" s="283">
        <v>75</v>
      </c>
      <c r="G14" s="283">
        <v>66</v>
      </c>
      <c r="H14" s="283">
        <v>62</v>
      </c>
      <c r="I14" s="284">
        <v>60</v>
      </c>
      <c r="K14" s="275" t="s">
        <v>46</v>
      </c>
      <c r="L14" s="276">
        <v>0</v>
      </c>
      <c r="M14" s="276">
        <v>0</v>
      </c>
      <c r="N14" s="276">
        <v>0</v>
      </c>
      <c r="O14" s="276">
        <v>0.75</v>
      </c>
      <c r="P14" s="264"/>
    </row>
    <row r="15" spans="2:42" ht="13.8" thickBot="1" x14ac:dyDescent="0.3">
      <c r="E15" s="285"/>
      <c r="F15" s="286"/>
      <c r="G15" s="286"/>
      <c r="H15" s="286"/>
      <c r="I15" s="287"/>
      <c r="K15" s="266" t="s">
        <v>8</v>
      </c>
      <c r="L15" s="267" t="s">
        <v>22</v>
      </c>
      <c r="M15" s="267" t="s">
        <v>55</v>
      </c>
      <c r="N15" s="267" t="s">
        <v>60</v>
      </c>
      <c r="O15" s="268" t="s">
        <v>56</v>
      </c>
      <c r="P15" s="264"/>
    </row>
    <row r="16" spans="2:42" ht="13.8" x14ac:dyDescent="0.25">
      <c r="K16" s="274" t="s">
        <v>46</v>
      </c>
      <c r="L16" s="16">
        <v>0.3</v>
      </c>
      <c r="M16" s="16">
        <v>0.3</v>
      </c>
      <c r="N16" s="16">
        <v>0.3</v>
      </c>
      <c r="O16" s="16">
        <v>0.3</v>
      </c>
      <c r="P16" s="264"/>
    </row>
    <row r="17" spans="11:16" ht="13.8" x14ac:dyDescent="0.25">
      <c r="K17" s="274" t="s">
        <v>47</v>
      </c>
      <c r="L17" s="16">
        <v>0.25</v>
      </c>
      <c r="M17" s="16">
        <v>0.25</v>
      </c>
      <c r="N17" s="16">
        <v>0.25</v>
      </c>
      <c r="O17" s="16">
        <v>0.25</v>
      </c>
      <c r="P17" s="264"/>
    </row>
    <row r="18" spans="11:16" ht="13.8" x14ac:dyDescent="0.25">
      <c r="K18" s="274" t="s">
        <v>48</v>
      </c>
      <c r="L18" s="16">
        <v>0.25</v>
      </c>
      <c r="M18" s="16">
        <v>0.25</v>
      </c>
      <c r="N18" s="16">
        <v>0.25</v>
      </c>
      <c r="O18" s="16">
        <v>0.25</v>
      </c>
      <c r="P18" s="264"/>
    </row>
    <row r="19" spans="11:16" ht="13.8" x14ac:dyDescent="0.25">
      <c r="K19" s="274" t="s">
        <v>49</v>
      </c>
      <c r="L19" s="16">
        <v>0.25</v>
      </c>
      <c r="M19" s="16">
        <v>0.25</v>
      </c>
      <c r="N19" s="16">
        <v>0.25</v>
      </c>
      <c r="O19" s="16">
        <v>0.25</v>
      </c>
      <c r="P19" s="264"/>
    </row>
    <row r="20" spans="11:16" ht="13.8" x14ac:dyDescent="0.25">
      <c r="K20" s="274" t="s">
        <v>50</v>
      </c>
      <c r="L20" s="16">
        <v>0.25</v>
      </c>
      <c r="M20" s="16">
        <v>0.25</v>
      </c>
      <c r="N20" s="16">
        <v>0.25</v>
      </c>
      <c r="O20" s="16">
        <v>0.25</v>
      </c>
      <c r="P20" s="264"/>
    </row>
    <row r="21" spans="11:16" ht="13.8" x14ac:dyDescent="0.25">
      <c r="K21" s="274" t="s">
        <v>39</v>
      </c>
      <c r="L21" s="16">
        <v>0.25</v>
      </c>
      <c r="M21" s="16">
        <v>0.25</v>
      </c>
      <c r="N21" s="16">
        <v>0.25</v>
      </c>
      <c r="O21" s="16">
        <v>0.25</v>
      </c>
      <c r="P21" s="264"/>
    </row>
    <row r="22" spans="11:16" ht="13.8" x14ac:dyDescent="0.25">
      <c r="K22" s="274" t="s">
        <v>51</v>
      </c>
      <c r="L22" s="16">
        <v>0.2</v>
      </c>
      <c r="M22" s="16">
        <v>0.2</v>
      </c>
      <c r="N22" s="16">
        <v>0.2</v>
      </c>
      <c r="O22" s="16">
        <v>0.2</v>
      </c>
      <c r="P22" s="264"/>
    </row>
    <row r="23" spans="11:16" ht="13.8" x14ac:dyDescent="0.25">
      <c r="K23" s="274" t="s">
        <v>52</v>
      </c>
      <c r="L23" s="16">
        <v>0.2</v>
      </c>
      <c r="M23" s="16">
        <v>0.2</v>
      </c>
      <c r="N23" s="16">
        <v>0.2</v>
      </c>
      <c r="O23" s="16">
        <v>0.2</v>
      </c>
      <c r="P23" s="264"/>
    </row>
    <row r="24" spans="11:16" ht="14.4" thickBot="1" x14ac:dyDescent="0.3">
      <c r="K24" s="274" t="s">
        <v>53</v>
      </c>
      <c r="L24" s="16">
        <v>0.2</v>
      </c>
      <c r="M24" s="16">
        <v>0.2</v>
      </c>
      <c r="N24" s="16">
        <v>0.2</v>
      </c>
      <c r="O24" s="16">
        <v>0.2</v>
      </c>
      <c r="P24" s="264"/>
    </row>
    <row r="25" spans="11:16" ht="14.4" thickBot="1" x14ac:dyDescent="0.3">
      <c r="K25" s="275" t="s">
        <v>46</v>
      </c>
      <c r="L25" s="276">
        <v>0</v>
      </c>
      <c r="M25" s="276">
        <v>0</v>
      </c>
      <c r="N25" s="276">
        <v>0</v>
      </c>
      <c r="O25" s="276">
        <v>0.3</v>
      </c>
      <c r="P25" s="264"/>
    </row>
    <row r="26" spans="11:16" x14ac:dyDescent="0.25">
      <c r="K26" s="266" t="s">
        <v>44</v>
      </c>
      <c r="L26" s="267" t="s">
        <v>22</v>
      </c>
      <c r="M26" s="267" t="s">
        <v>55</v>
      </c>
      <c r="N26" s="267" t="s">
        <v>60</v>
      </c>
      <c r="O26" s="268" t="s">
        <v>56</v>
      </c>
      <c r="P26" s="277"/>
    </row>
    <row r="27" spans="11:16" ht="13.8" x14ac:dyDescent="0.25">
      <c r="K27" s="274" t="s">
        <v>46</v>
      </c>
      <c r="L27" s="16">
        <v>1.5</v>
      </c>
      <c r="M27" s="16">
        <v>1.5</v>
      </c>
      <c r="N27" s="16">
        <v>1.5</v>
      </c>
      <c r="O27" s="16">
        <v>1.5</v>
      </c>
      <c r="P27" s="282"/>
    </row>
    <row r="28" spans="11:16" ht="13.8" x14ac:dyDescent="0.25">
      <c r="K28" s="274" t="s">
        <v>47</v>
      </c>
      <c r="L28" s="16">
        <v>0.75</v>
      </c>
      <c r="M28" s="16">
        <v>1</v>
      </c>
      <c r="N28" s="16">
        <v>1</v>
      </c>
      <c r="O28" s="16">
        <v>1</v>
      </c>
      <c r="P28" s="282"/>
    </row>
    <row r="29" spans="11:16" ht="13.8" x14ac:dyDescent="0.25">
      <c r="K29" s="274" t="s">
        <v>48</v>
      </c>
      <c r="L29" s="16">
        <v>0.75</v>
      </c>
      <c r="M29" s="16">
        <v>1</v>
      </c>
      <c r="N29" s="16">
        <v>1</v>
      </c>
      <c r="O29" s="16">
        <v>1</v>
      </c>
      <c r="P29" s="282"/>
    </row>
    <row r="30" spans="11:16" ht="13.8" x14ac:dyDescent="0.25">
      <c r="K30" s="274" t="s">
        <v>49</v>
      </c>
      <c r="L30" s="16">
        <v>0.75</v>
      </c>
      <c r="M30" s="16">
        <v>0.75</v>
      </c>
      <c r="N30" s="16">
        <v>0.75</v>
      </c>
      <c r="O30" s="16">
        <v>0.75</v>
      </c>
      <c r="P30" s="282"/>
    </row>
    <row r="31" spans="11:16" ht="13.8" x14ac:dyDescent="0.25">
      <c r="K31" s="274" t="s">
        <v>50</v>
      </c>
      <c r="L31" s="16">
        <v>0.65</v>
      </c>
      <c r="M31" s="16">
        <v>0.85</v>
      </c>
      <c r="N31" s="16">
        <v>0.85</v>
      </c>
      <c r="O31" s="16">
        <v>0.85</v>
      </c>
      <c r="P31" s="282"/>
    </row>
    <row r="32" spans="11:16" ht="13.8" x14ac:dyDescent="0.25">
      <c r="K32" s="274" t="s">
        <v>39</v>
      </c>
      <c r="L32" s="16">
        <v>0.65</v>
      </c>
      <c r="M32" s="16">
        <v>0.85</v>
      </c>
      <c r="N32" s="16">
        <v>0.85</v>
      </c>
      <c r="O32" s="16">
        <v>0.85</v>
      </c>
      <c r="P32" s="282"/>
    </row>
    <row r="33" spans="11:16" ht="13.8" x14ac:dyDescent="0.25">
      <c r="K33" s="274" t="s">
        <v>51</v>
      </c>
      <c r="L33" s="16">
        <v>0.5</v>
      </c>
      <c r="M33" s="16">
        <v>0.65</v>
      </c>
      <c r="N33" s="16">
        <v>0.75</v>
      </c>
      <c r="O33" s="16">
        <v>0.75</v>
      </c>
      <c r="P33" s="282"/>
    </row>
    <row r="34" spans="11:16" ht="13.8" x14ac:dyDescent="0.25">
      <c r="K34" s="274" t="s">
        <v>52</v>
      </c>
      <c r="L34" s="16">
        <v>0.5</v>
      </c>
      <c r="M34" s="16">
        <v>0.65</v>
      </c>
      <c r="N34" s="16">
        <v>0.75</v>
      </c>
      <c r="O34" s="16">
        <v>0.75</v>
      </c>
      <c r="P34" s="282"/>
    </row>
    <row r="35" spans="11:16" ht="14.4" thickBot="1" x14ac:dyDescent="0.3">
      <c r="K35" s="274" t="s">
        <v>53</v>
      </c>
      <c r="L35" s="16">
        <v>0.5</v>
      </c>
      <c r="M35" s="16">
        <v>0.65</v>
      </c>
      <c r="N35" s="16">
        <v>0.75</v>
      </c>
      <c r="O35" s="16">
        <v>0.75</v>
      </c>
      <c r="P35" s="282"/>
    </row>
    <row r="36" spans="11:16" ht="14.4" thickBot="1" x14ac:dyDescent="0.3">
      <c r="K36" s="275" t="s">
        <v>46</v>
      </c>
      <c r="L36" s="276">
        <v>0</v>
      </c>
      <c r="M36" s="276">
        <v>0</v>
      </c>
      <c r="N36" s="276">
        <v>1.5</v>
      </c>
      <c r="O36" s="276">
        <v>0</v>
      </c>
      <c r="P36" s="197"/>
    </row>
    <row r="37" spans="11:16" ht="13.8" thickBot="1" x14ac:dyDescent="0.3">
      <c r="K37" s="285"/>
      <c r="L37" s="288"/>
      <c r="M37" s="288"/>
      <c r="N37" s="288"/>
      <c r="O37" s="289"/>
      <c r="P37" s="290"/>
    </row>
    <row r="38" spans="11:16" ht="13.8" thickBot="1" x14ac:dyDescent="0.3">
      <c r="K38" s="265"/>
      <c r="L38" s="265"/>
      <c r="M38" s="265"/>
      <c r="N38" s="265"/>
      <c r="O38" s="265"/>
      <c r="P38" s="265"/>
    </row>
    <row r="39" spans="11:16" x14ac:dyDescent="0.25">
      <c r="K39" s="266" t="s">
        <v>7</v>
      </c>
      <c r="L39" s="267" t="s">
        <v>22</v>
      </c>
      <c r="M39" s="267" t="s">
        <v>55</v>
      </c>
      <c r="N39" s="267" t="s">
        <v>60</v>
      </c>
      <c r="O39" s="268" t="s">
        <v>56</v>
      </c>
      <c r="P39" s="277"/>
    </row>
    <row r="40" spans="11:16" ht="13.8" x14ac:dyDescent="0.25">
      <c r="K40" s="274" t="s">
        <v>46</v>
      </c>
      <c r="L40" s="16">
        <v>0.5</v>
      </c>
      <c r="M40" s="16">
        <v>0.5</v>
      </c>
      <c r="N40" s="16">
        <v>0.5</v>
      </c>
      <c r="O40" s="16">
        <v>0.5</v>
      </c>
      <c r="P40" s="282"/>
    </row>
    <row r="41" spans="11:16" ht="13.8" x14ac:dyDescent="0.25">
      <c r="K41" s="274" t="s">
        <v>47</v>
      </c>
      <c r="L41" s="16">
        <v>0.5</v>
      </c>
      <c r="M41" s="16">
        <v>0.5</v>
      </c>
      <c r="N41" s="16">
        <v>0.5</v>
      </c>
      <c r="O41" s="16">
        <v>0.5</v>
      </c>
      <c r="P41" s="282"/>
    </row>
    <row r="42" spans="11:16" ht="13.8" x14ac:dyDescent="0.25">
      <c r="K42" s="274" t="s">
        <v>48</v>
      </c>
      <c r="L42" s="16">
        <v>0.25</v>
      </c>
      <c r="M42" s="16">
        <v>0.3</v>
      </c>
      <c r="N42" s="16">
        <v>0.3</v>
      </c>
      <c r="O42" s="16">
        <v>0.3</v>
      </c>
      <c r="P42" s="282"/>
    </row>
    <row r="43" spans="11:16" ht="13.8" x14ac:dyDescent="0.25">
      <c r="K43" s="274" t="s">
        <v>49</v>
      </c>
      <c r="L43" s="16">
        <v>0.25</v>
      </c>
      <c r="M43" s="16">
        <v>0.3</v>
      </c>
      <c r="N43" s="16">
        <v>0.3</v>
      </c>
      <c r="O43" s="16">
        <v>0.3</v>
      </c>
      <c r="P43" s="282"/>
    </row>
    <row r="44" spans="11:16" ht="13.8" x14ac:dyDescent="0.25">
      <c r="K44" s="274" t="s">
        <v>50</v>
      </c>
      <c r="L44" s="16">
        <v>0.25</v>
      </c>
      <c r="M44" s="16">
        <v>0.3</v>
      </c>
      <c r="N44" s="16">
        <v>0.3</v>
      </c>
      <c r="O44" s="16">
        <v>0.3</v>
      </c>
      <c r="P44" s="282"/>
    </row>
    <row r="45" spans="11:16" ht="13.8" x14ac:dyDescent="0.25">
      <c r="K45" s="274" t="s">
        <v>39</v>
      </c>
      <c r="L45" s="16">
        <v>0.25</v>
      </c>
      <c r="M45" s="16">
        <v>0.3</v>
      </c>
      <c r="N45" s="16">
        <v>0.3</v>
      </c>
      <c r="O45" s="16">
        <v>0.3</v>
      </c>
      <c r="P45" s="282"/>
    </row>
    <row r="46" spans="11:16" ht="13.8" x14ac:dyDescent="0.25">
      <c r="K46" s="274" t="s">
        <v>51</v>
      </c>
      <c r="L46" s="16">
        <v>0.25</v>
      </c>
      <c r="M46" s="16">
        <v>0.3</v>
      </c>
      <c r="N46" s="16">
        <v>0.3</v>
      </c>
      <c r="O46" s="16">
        <v>0.3</v>
      </c>
      <c r="P46" s="282"/>
    </row>
    <row r="47" spans="11:16" ht="13.8" x14ac:dyDescent="0.25">
      <c r="K47" s="274" t="s">
        <v>52</v>
      </c>
      <c r="L47" s="16">
        <v>0.25</v>
      </c>
      <c r="M47" s="16">
        <v>0.3</v>
      </c>
      <c r="N47" s="16">
        <v>0.3</v>
      </c>
      <c r="O47" s="16">
        <v>0.3</v>
      </c>
      <c r="P47" s="282"/>
    </row>
    <row r="48" spans="11:16" ht="13.8" x14ac:dyDescent="0.25">
      <c r="K48" s="274" t="s">
        <v>53</v>
      </c>
      <c r="L48" s="16">
        <v>0.25</v>
      </c>
      <c r="M48" s="16">
        <v>0.3</v>
      </c>
      <c r="N48" s="16">
        <v>0.3</v>
      </c>
      <c r="O48" s="16">
        <v>0.3</v>
      </c>
      <c r="P48" s="282"/>
    </row>
    <row r="49" spans="11:16" ht="13.8" thickBot="1" x14ac:dyDescent="0.3">
      <c r="K49" s="285"/>
      <c r="L49" s="288"/>
      <c r="M49" s="288"/>
      <c r="N49" s="288"/>
      <c r="O49" s="289"/>
      <c r="P49" s="290"/>
    </row>
    <row r="50" spans="11:16" ht="14.4" thickBot="1" x14ac:dyDescent="0.3">
      <c r="K50" s="275" t="s">
        <v>46</v>
      </c>
      <c r="L50" s="276">
        <v>0</v>
      </c>
      <c r="M50" s="276">
        <v>0</v>
      </c>
      <c r="N50" s="276">
        <v>0</v>
      </c>
      <c r="O50" s="276">
        <v>0.5</v>
      </c>
      <c r="P50" s="197"/>
    </row>
    <row r="51" spans="11:16" x14ac:dyDescent="0.25">
      <c r="K51" s="266" t="s">
        <v>81</v>
      </c>
      <c r="L51" s="267" t="s">
        <v>22</v>
      </c>
      <c r="M51" s="267" t="s">
        <v>55</v>
      </c>
      <c r="N51" s="267" t="s">
        <v>60</v>
      </c>
      <c r="O51" s="268" t="s">
        <v>56</v>
      </c>
      <c r="P51" s="277"/>
    </row>
    <row r="52" spans="11:16" x14ac:dyDescent="0.25">
      <c r="K52" s="274" t="s">
        <v>46</v>
      </c>
      <c r="L52" s="200"/>
      <c r="M52" s="200"/>
      <c r="N52" s="200"/>
      <c r="O52" s="201"/>
      <c r="P52" s="282"/>
    </row>
    <row r="53" spans="11:16" x14ac:dyDescent="0.25">
      <c r="K53" s="274" t="s">
        <v>47</v>
      </c>
      <c r="L53" s="200"/>
      <c r="M53" s="200"/>
      <c r="N53" s="200"/>
      <c r="O53" s="201"/>
      <c r="P53" s="282"/>
    </row>
    <row r="54" spans="11:16" x14ac:dyDescent="0.25">
      <c r="K54" s="274" t="s">
        <v>48</v>
      </c>
      <c r="L54" s="200"/>
      <c r="M54" s="200"/>
      <c r="N54" s="200"/>
      <c r="O54" s="201"/>
      <c r="P54" s="282"/>
    </row>
    <row r="55" spans="11:16" x14ac:dyDescent="0.25">
      <c r="K55" s="274" t="s">
        <v>49</v>
      </c>
      <c r="L55" s="200"/>
      <c r="M55" s="200"/>
      <c r="N55" s="200"/>
      <c r="O55" s="201"/>
      <c r="P55" s="282"/>
    </row>
    <row r="56" spans="11:16" x14ac:dyDescent="0.25">
      <c r="K56" s="274" t="s">
        <v>50</v>
      </c>
      <c r="L56" s="200"/>
      <c r="M56" s="200"/>
      <c r="N56" s="200"/>
      <c r="O56" s="201"/>
      <c r="P56" s="282"/>
    </row>
    <row r="57" spans="11:16" x14ac:dyDescent="0.25">
      <c r="K57" s="274" t="s">
        <v>39</v>
      </c>
      <c r="L57" s="200"/>
      <c r="M57" s="200"/>
      <c r="N57" s="200"/>
      <c r="O57" s="201"/>
      <c r="P57" s="282"/>
    </row>
    <row r="58" spans="11:16" x14ac:dyDescent="0.25">
      <c r="K58" s="274" t="s">
        <v>51</v>
      </c>
      <c r="L58" s="200"/>
      <c r="M58" s="200"/>
      <c r="N58" s="200"/>
      <c r="O58" s="201"/>
      <c r="P58" s="282"/>
    </row>
    <row r="59" spans="11:16" x14ac:dyDescent="0.25">
      <c r="K59" s="274" t="s">
        <v>52</v>
      </c>
      <c r="L59" s="200"/>
      <c r="M59" s="200"/>
      <c r="N59" s="200"/>
      <c r="O59" s="201"/>
      <c r="P59" s="282"/>
    </row>
    <row r="60" spans="11:16" x14ac:dyDescent="0.25">
      <c r="K60" s="274" t="s">
        <v>53</v>
      </c>
      <c r="L60" s="200"/>
      <c r="M60" s="200"/>
      <c r="N60" s="200"/>
      <c r="O60" s="201"/>
      <c r="P60" s="282"/>
    </row>
    <row r="61" spans="11:16" ht="13.8" thickBot="1" x14ac:dyDescent="0.3">
      <c r="K61" s="285"/>
      <c r="L61" s="288"/>
      <c r="M61" s="288"/>
      <c r="N61" s="288"/>
      <c r="O61" s="289"/>
      <c r="P61" s="290"/>
    </row>
    <row r="62" spans="11:16" ht="14.4" thickBot="1" x14ac:dyDescent="0.3">
      <c r="K62" s="275" t="s">
        <v>46</v>
      </c>
      <c r="L62" s="276">
        <v>0</v>
      </c>
      <c r="M62" s="276">
        <v>0</v>
      </c>
      <c r="N62" s="276">
        <v>0</v>
      </c>
      <c r="O62" s="276">
        <v>0</v>
      </c>
      <c r="P62" s="197"/>
    </row>
    <row r="63" spans="11:16" ht="13.8" thickBot="1" x14ac:dyDescent="0.3">
      <c r="K63" s="264"/>
      <c r="L63" s="264"/>
      <c r="M63" s="264"/>
      <c r="N63" s="264"/>
      <c r="O63" s="264"/>
      <c r="P63" s="264"/>
    </row>
    <row r="64" spans="11:16" x14ac:dyDescent="0.25">
      <c r="K64" s="266" t="s">
        <v>82</v>
      </c>
      <c r="L64" s="267" t="s">
        <v>22</v>
      </c>
      <c r="M64" s="267" t="s">
        <v>55</v>
      </c>
      <c r="N64" s="267" t="s">
        <v>60</v>
      </c>
      <c r="O64" s="268" t="s">
        <v>56</v>
      </c>
      <c r="P64" s="277"/>
    </row>
    <row r="65" spans="11:16" ht="13.8" x14ac:dyDescent="0.25">
      <c r="K65" s="274" t="s">
        <v>46</v>
      </c>
      <c r="L65" s="16">
        <v>0.1</v>
      </c>
      <c r="M65" s="16">
        <v>0.1</v>
      </c>
      <c r="N65" s="16">
        <v>0.1</v>
      </c>
      <c r="O65" s="16">
        <v>0.1</v>
      </c>
      <c r="P65" s="282"/>
    </row>
    <row r="66" spans="11:16" ht="13.8" x14ac:dyDescent="0.25">
      <c r="K66" s="274" t="s">
        <v>47</v>
      </c>
      <c r="L66" s="16">
        <v>0.1</v>
      </c>
      <c r="M66" s="16">
        <v>0.1</v>
      </c>
      <c r="N66" s="16">
        <v>0.1</v>
      </c>
      <c r="O66" s="16">
        <v>0.1</v>
      </c>
      <c r="P66" s="282"/>
    </row>
    <row r="67" spans="11:16" ht="13.8" x14ac:dyDescent="0.25">
      <c r="K67" s="274" t="s">
        <v>48</v>
      </c>
      <c r="L67" s="16">
        <v>0.1</v>
      </c>
      <c r="M67" s="16">
        <v>0.1</v>
      </c>
      <c r="N67" s="16">
        <v>0.1</v>
      </c>
      <c r="O67" s="16">
        <v>0.1</v>
      </c>
      <c r="P67" s="282"/>
    </row>
    <row r="68" spans="11:16" ht="13.8" x14ac:dyDescent="0.25">
      <c r="K68" s="274" t="s">
        <v>49</v>
      </c>
      <c r="L68" s="16">
        <v>0.1</v>
      </c>
      <c r="M68" s="16">
        <v>0.1</v>
      </c>
      <c r="N68" s="16">
        <v>0.1</v>
      </c>
      <c r="O68" s="16">
        <v>0.1</v>
      </c>
      <c r="P68" s="282"/>
    </row>
    <row r="69" spans="11:16" ht="13.8" x14ac:dyDescent="0.25">
      <c r="K69" s="274" t="s">
        <v>50</v>
      </c>
      <c r="L69" s="16">
        <v>0.1</v>
      </c>
      <c r="M69" s="16">
        <v>0.1</v>
      </c>
      <c r="N69" s="16">
        <v>0.1</v>
      </c>
      <c r="O69" s="16">
        <v>0.1</v>
      </c>
      <c r="P69" s="282"/>
    </row>
    <row r="70" spans="11:16" ht="13.8" x14ac:dyDescent="0.25">
      <c r="K70" s="274" t="s">
        <v>39</v>
      </c>
      <c r="L70" s="16">
        <v>0.1</v>
      </c>
      <c r="M70" s="16">
        <v>0.1</v>
      </c>
      <c r="N70" s="16">
        <v>0.1</v>
      </c>
      <c r="O70" s="16">
        <v>0.1</v>
      </c>
      <c r="P70" s="282"/>
    </row>
    <row r="71" spans="11:16" ht="13.8" x14ac:dyDescent="0.25">
      <c r="K71" s="274" t="s">
        <v>51</v>
      </c>
      <c r="L71" s="16">
        <v>0.1</v>
      </c>
      <c r="M71" s="16">
        <v>0.1</v>
      </c>
      <c r="N71" s="16">
        <v>0.1</v>
      </c>
      <c r="O71" s="16">
        <v>0.1</v>
      </c>
      <c r="P71" s="282"/>
    </row>
    <row r="72" spans="11:16" ht="13.8" x14ac:dyDescent="0.25">
      <c r="K72" s="274" t="s">
        <v>52</v>
      </c>
      <c r="L72" s="16">
        <v>0.1</v>
      </c>
      <c r="M72" s="16">
        <v>0.1</v>
      </c>
      <c r="N72" s="16">
        <v>0.1</v>
      </c>
      <c r="O72" s="16">
        <v>0.1</v>
      </c>
      <c r="P72" s="282"/>
    </row>
    <row r="73" spans="11:16" ht="13.8" x14ac:dyDescent="0.25">
      <c r="K73" s="274" t="s">
        <v>53</v>
      </c>
      <c r="L73" s="16">
        <v>0.1</v>
      </c>
      <c r="M73" s="16">
        <v>0.1</v>
      </c>
      <c r="N73" s="16">
        <v>0.1</v>
      </c>
      <c r="O73" s="16">
        <v>0.1</v>
      </c>
      <c r="P73" s="282"/>
    </row>
    <row r="74" spans="11:16" ht="13.8" thickBot="1" x14ac:dyDescent="0.3">
      <c r="K74" s="285"/>
      <c r="L74" s="288"/>
      <c r="M74" s="288"/>
      <c r="N74" s="288"/>
      <c r="O74" s="289"/>
      <c r="P74" s="290"/>
    </row>
    <row r="75" spans="11:16" ht="14.4" thickBot="1" x14ac:dyDescent="0.3">
      <c r="K75" s="275" t="s">
        <v>46</v>
      </c>
      <c r="L75" s="276">
        <v>0</v>
      </c>
      <c r="M75" s="276">
        <v>0</v>
      </c>
      <c r="N75" s="276">
        <v>0.1</v>
      </c>
      <c r="O75" s="276">
        <v>0</v>
      </c>
      <c r="P75" s="197"/>
    </row>
    <row r="76" spans="11:16" ht="13.8" thickBot="1" x14ac:dyDescent="0.3">
      <c r="K76" s="265"/>
      <c r="L76" s="265"/>
      <c r="M76" s="265"/>
      <c r="N76" s="265"/>
      <c r="O76" s="265"/>
      <c r="P76" s="265"/>
    </row>
    <row r="77" spans="11:16" ht="14.4" thickBot="1" x14ac:dyDescent="0.3">
      <c r="K77" s="275" t="s">
        <v>79</v>
      </c>
      <c r="L77" s="210"/>
      <c r="M77" s="210"/>
      <c r="N77" s="210"/>
      <c r="O77" s="210"/>
      <c r="P77" s="314">
        <v>1</v>
      </c>
    </row>
    <row r="78" spans="11:16" x14ac:dyDescent="0.25">
      <c r="K78" s="264"/>
      <c r="L78" s="264"/>
      <c r="M78" s="264"/>
      <c r="N78" s="264"/>
      <c r="O78" s="264"/>
      <c r="P78" s="264"/>
    </row>
    <row r="79" spans="11:16" ht="13.8" x14ac:dyDescent="0.25">
      <c r="K79" s="315" t="s">
        <v>86</v>
      </c>
      <c r="L79" s="316">
        <v>0</v>
      </c>
      <c r="M79" s="316">
        <v>0</v>
      </c>
      <c r="N79" s="316">
        <v>1.6</v>
      </c>
      <c r="O79" s="316">
        <v>1.55</v>
      </c>
      <c r="P79" s="316">
        <v>4.1500000000000004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CPM DATA</vt:lpstr>
      <vt:lpstr>Smy</vt:lpstr>
      <vt:lpstr>Listing</vt:lpstr>
      <vt:lpstr>Style Wise Summary</vt:lpstr>
      <vt:lpstr>Reject Grid</vt:lpstr>
      <vt:lpstr>Model</vt:lpstr>
      <vt:lpstr>Master Grid</vt:lpstr>
      <vt:lpstr>Parameters</vt:lpstr>
    </vt:vector>
  </TitlesOfParts>
  <Company>azgard9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sahrish butt</dc:creator>
  <cp:lastModifiedBy>Fayaz Ur Rehman</cp:lastModifiedBy>
  <cp:lastPrinted>2026-04-10T06:20:41Z</cp:lastPrinted>
  <dcterms:created xsi:type="dcterms:W3CDTF">2009-06-29T05:19:15Z</dcterms:created>
  <dcterms:modified xsi:type="dcterms:W3CDTF">2026-07-25T05:05:59Z</dcterms:modified>
</cp:coreProperties>
</file>